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6.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4.xml"/>
  <Override ContentType="application/vnd.openxmlformats-officedocument.drawingml.chart+xml" PartName="/xl/charts/chart18.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0.xml"/>
  <Override ContentType="application/vnd.openxmlformats-officedocument.drawingml.chart+xml" PartName="/xl/charts/chart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15.xml"/>
  <Override ContentType="application/vnd.openxmlformats-officedocument.drawingml.chart+xml" PartName="/xl/charts/chart17.xml"/>
  <Override ContentType="application/vnd.openxmlformats-officedocument.drawingml.chart+xml" PartName="/xl/charts/chart9.xml"/>
  <Override ContentType="application/vnd.openxmlformats-officedocument.drawingml.chart+xml" PartName="/xl/charts/chart1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21.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tart Here" sheetId="1" r:id="rId5"/>
    <sheet state="visible" name="Raw Data" sheetId="2" r:id="rId6"/>
    <sheet state="visible" name="Evaluation" sheetId="3" r:id="rId7"/>
    <sheet state="visible" name="Calc - Scored" sheetId="4" r:id="rId8"/>
    <sheet state="visible" name="Calc - Weighted" sheetId="5" r:id="rId9"/>
    <sheet state="visible" name="Calc - Ranked" sheetId="6" r:id="rId10"/>
    <sheet state="visible" name="Calc - SA" sheetId="7" r:id="rId11"/>
    <sheet state="visible" name="Utility Functions" sheetId="8" r:id="rId12"/>
    <sheet state="visible" name="Sensitivity Analysis" sheetId="9" r:id="rId13"/>
    <sheet state="visible" name="Calc - SA2" sheetId="10" r:id="rId14"/>
    <sheet state="visible" name="License" sheetId="11" r:id="rId15"/>
  </sheets>
  <definedNames>
    <definedName name="WeightOriginal">'Calc - SA'!$AZ$7</definedName>
  </definedNames>
  <calcPr/>
  <extLst>
    <ext uri="GoogleSheetsCustomDataVersion2">
      <go:sheetsCustomData xmlns:go="http://customooxmlschemas.google.com/" r:id="rId16" roundtripDataChecksum="P/lPObN3LEmOuA4QGIn+M5eb1kb3W2SLbGrA+sYZz/o="/>
    </ext>
  </extLst>
</workbook>
</file>

<file path=xl/sharedStrings.xml><?xml version="1.0" encoding="utf-8"?>
<sst xmlns="http://schemas.openxmlformats.org/spreadsheetml/2006/main" count="714" uniqueCount="120">
  <si>
    <t>Trade Study Template for MS Excel</t>
  </si>
  <si>
    <t>Version 2.0</t>
  </si>
  <si>
    <t>Copyright © 2014 by Jeffrey Ellis. All rights reserved.</t>
  </si>
  <si>
    <t>http://jeffreyellis.org</t>
  </si>
  <si>
    <r>
      <rPr>
        <rFont val="Calibri"/>
        <b/>
        <color rgb="FF002060"/>
        <sz val="11.0"/>
      </rPr>
      <t xml:space="preserve">*** START HERE ***
</t>
    </r>
    <r>
      <rPr>
        <rFont val="Calibri"/>
        <color rgb="FF002060"/>
        <sz val="11.0"/>
      </rPr>
      <t xml:space="preserve">The </t>
    </r>
    <r>
      <rPr>
        <rFont val="Calibri"/>
        <b/>
        <color rgb="FF002060"/>
        <sz val="11.0"/>
        <u/>
      </rPr>
      <t>Trade Study Template for MS Excel</t>
    </r>
    <r>
      <rPr>
        <rFont val="Calibri"/>
        <color rgb="FF002060"/>
        <sz val="11.0"/>
      </rPr>
      <t xml:space="preserve"> is a spreadsheet that implements a simple weighted sum method for multiple criteria decision making. It is a .xlsm file that should work with Excel 2007 and later.
</t>
    </r>
    <r>
      <rPr>
        <rFont val="Calibri"/>
        <b/>
        <color rgb="FF002060"/>
        <sz val="11.0"/>
      </rPr>
      <t xml:space="preserve">
Instructions:
</t>
    </r>
    <r>
      <rPr>
        <rFont val="Calibri"/>
        <color rgb="FF002060"/>
        <sz val="11.0"/>
      </rPr>
      <t xml:space="preserve">
1. Read the license agreement on the </t>
    </r>
    <r>
      <rPr>
        <rFont val="Calibri"/>
        <b/>
        <color rgb="FF002060"/>
        <sz val="11.0"/>
        <u/>
      </rPr>
      <t>License</t>
    </r>
    <r>
      <rPr>
        <rFont val="Calibri"/>
        <color rgb="FF002060"/>
        <sz val="11.0"/>
      </rPr>
      <t xml:space="preserve"> worksheet. Your continued use of this template constitutes agreement with this license.
2. In the </t>
    </r>
    <r>
      <rPr>
        <rFont val="Calibri"/>
        <b/>
        <color rgb="FF002060"/>
        <sz val="11.0"/>
        <u/>
      </rPr>
      <t>Raw Data</t>
    </r>
    <r>
      <rPr>
        <rFont val="Calibri"/>
        <color rgb="FF002060"/>
        <sz val="11.0"/>
      </rPr>
      <t xml:space="preserve"> worksheet, enter your alternatives under consideration and your evaluation criteria, and enter the raw scores for evaluation criteria for each alternative.
3. In the </t>
    </r>
    <r>
      <rPr>
        <rFont val="Calibri"/>
        <b/>
        <color rgb="FF002060"/>
        <sz val="11.0"/>
        <u/>
      </rPr>
      <t>Utility Functions</t>
    </r>
    <r>
      <rPr>
        <rFont val="Calibri"/>
        <color rgb="FF002060"/>
        <sz val="11.0"/>
      </rPr>
      <t xml:space="preserve"> worksheet, enter the data required to define the utility functions that transform raw scores into utility (on a scale of 0.0 to 1.0) for each evaluation criteria.
4. In the </t>
    </r>
    <r>
      <rPr>
        <rFont val="Calibri"/>
        <b/>
        <color rgb="FF002060"/>
        <sz val="11.0"/>
        <u/>
      </rPr>
      <t>Evaluation</t>
    </r>
    <r>
      <rPr>
        <rFont val="Calibri"/>
        <color rgb="FF002060"/>
        <sz val="11.0"/>
      </rPr>
      <t xml:space="preserve"> worksheet, set and adjust the weighting factors for your evaluation criteria. This worksheet also displays a stacked bar chart of the results, with the alternatives sorted in ranked order.
5. In the </t>
    </r>
    <r>
      <rPr>
        <rFont val="Calibri"/>
        <b/>
        <color rgb="FF002060"/>
        <sz val="11.0"/>
        <u/>
      </rPr>
      <t>Sensitivity Analysis</t>
    </r>
    <r>
      <rPr>
        <rFont val="Calibri"/>
        <color rgb="FF002060"/>
        <sz val="11.0"/>
      </rPr>
      <t xml:space="preserve"> worksheet, you can perform sensitivity analysis on any selected criteria.
Detailed instructions on each worksheet appear in a yellow box like this one.
Any worksheet that begins with "Calc" is for internal/intermediate calculations. Do not edit these.
Do NOT delete any rows or columns, e.g., for unused alternatives or evaluation criteria. Leave them blank instead. The embedded VBA macros will not work properly if you delete any rows.</t>
    </r>
  </si>
  <si>
    <t>Alternative</t>
  </si>
  <si>
    <t>Sterilization</t>
  </si>
  <si>
    <t>Durability</t>
  </si>
  <si>
    <t>Ease of Assembly</t>
  </si>
  <si>
    <t>Leakage</t>
  </si>
  <si>
    <t>Flow Control</t>
  </si>
  <si>
    <t>Filter Compatability</t>
  </si>
  <si>
    <t>Filter Surface Area</t>
  </si>
  <si>
    <t>Filter in spike, two chamber, clamp in</t>
  </si>
  <si>
    <t>Filter in bottom chamber, two chamber, clamp in</t>
  </si>
  <si>
    <t>Filter in spike, two chamber, screw in</t>
  </si>
  <si>
    <t>Filter in bottom chamber, two chamber, screw in</t>
  </si>
  <si>
    <t>Single Chamber flat filter</t>
  </si>
  <si>
    <t>Single chamber, cone filter</t>
  </si>
  <si>
    <t>Min value:</t>
  </si>
  <si>
    <t>Max value:</t>
  </si>
  <si>
    <r>
      <rPr>
        <rFont val="Calibri"/>
        <b/>
        <color rgb="FF002060"/>
        <sz val="11.0"/>
      </rPr>
      <t>*** RAW DATA WORKSHEET ***
Instructions:</t>
    </r>
    <r>
      <rPr>
        <rFont val="Calibri"/>
        <color rgb="FF002060"/>
        <sz val="11.0"/>
      </rPr>
      <t xml:space="preserve">
1. Enter your alternatives in column A, replacing the "Alternative 1", "Alternative 2", etc.  Delete any unused alternative names; do NOT delete the rows.
2. Enter your evaluation criteria in row 2, replacing the "Criteria 1", "Criteria 2", etc. Delete any unused criteria names; do NOT delete the columns.
2. Enter your evaluation criteria scores for each alternative. </t>
    </r>
  </si>
  <si>
    <t>Total Score</t>
  </si>
  <si>
    <t>Rank</t>
  </si>
  <si>
    <t>0…….</t>
  </si>
  <si>
    <t>………………..</t>
  </si>
  <si>
    <t>…………………</t>
  </si>
  <si>
    <t>…...100</t>
  </si>
  <si>
    <t>Criteria</t>
  </si>
  <si>
    <t>Weight</t>
  </si>
  <si>
    <t>Normalized</t>
  </si>
  <si>
    <t>Auto-Normalize:</t>
  </si>
  <si>
    <t>TOTAL</t>
  </si>
  <si>
    <r>
      <rPr>
        <rFont val="Calibri"/>
        <b/>
        <color rgb="FF002060"/>
        <sz val="11.0"/>
      </rPr>
      <t>*** EVALUATION WORKSHEET ***
Instructions:</t>
    </r>
    <r>
      <rPr>
        <rFont val="Calibri"/>
        <color rgb="FF002060"/>
        <sz val="11.0"/>
      </rPr>
      <t xml:space="preserve">
1. Enter weights (a.k.a. "weighting factors") for evaluation criteria in table above. Or you can use the slider bars to adjust them. The stacked bar chart of results will update dynamically, and alternatives will be sorted in order of total score.
2. Weights should add to 100. If they do not (e.g., because you manually edited one of them), click the "Normalize" button. This will scale all weights up/down proportionally, to sum to 100. Turn on Auto-Normalize for the sliders,  if you want weights to automatically be normalized after moving a slider.
3. Leave weights blank or zero for those evaluation criteria not being used.</t>
    </r>
  </si>
  <si>
    <t>Raw data, converted to scores of 0.0 - 1.0 without weighting</t>
  </si>
  <si>
    <r>
      <rPr>
        <rFont val="Calibri"/>
        <b/>
        <color rgb="FF002060"/>
        <sz val="11.0"/>
      </rPr>
      <t>*** CALC - SCORED WORKSHEET ***</t>
    </r>
    <r>
      <rPr>
        <rFont val="Calibri"/>
        <color rgb="FF002060"/>
        <sz val="11.0"/>
      </rPr>
      <t xml:space="preserve">
Do not edit anything in this worksheet. Scores are filled in automatically.
These are unweighted utility values on a scale of 0.0 to 1.0 for each evaluation criteria. They are calculated by applying utility functions in the </t>
    </r>
    <r>
      <rPr>
        <rFont val="Calibri"/>
        <b/>
        <color rgb="FF002060"/>
        <sz val="11.0"/>
        <u/>
      </rPr>
      <t>Utility Functions</t>
    </r>
    <r>
      <rPr>
        <rFont val="Calibri"/>
        <color rgb="FF002060"/>
        <sz val="11.0"/>
      </rPr>
      <t xml:space="preserve"> worksheet to the scores in the </t>
    </r>
    <r>
      <rPr>
        <rFont val="Calibri"/>
        <b/>
        <color rgb="FF002060"/>
        <sz val="11.0"/>
        <u/>
      </rPr>
      <t>Raw Data</t>
    </r>
    <r>
      <rPr>
        <rFont val="Calibri"/>
        <color rgb="FF002060"/>
        <sz val="11.0"/>
      </rPr>
      <t xml:space="preserve"> worksheet.</t>
    </r>
  </si>
  <si>
    <t>WEIGHTED Scores</t>
  </si>
  <si>
    <t>RANK</t>
  </si>
  <si>
    <t>Weights:</t>
  </si>
  <si>
    <r>
      <rPr>
        <rFont val="Calibri"/>
        <b/>
        <color rgb="FF002060"/>
        <sz val="11.0"/>
      </rPr>
      <t>*** CALC - WEIGHTED WORKSHEET ***</t>
    </r>
    <r>
      <rPr>
        <rFont val="Calibri"/>
        <color rgb="FF002060"/>
        <sz val="11.0"/>
      </rPr>
      <t xml:space="preserve">
Do not edit anything in this worksheet. Weighted scores and ranks are filled in automatically.
Weights are set in the </t>
    </r>
    <r>
      <rPr>
        <rFont val="Calibri"/>
        <b/>
        <color rgb="FF002060"/>
        <sz val="11.0"/>
        <u/>
      </rPr>
      <t>Evaluation</t>
    </r>
    <r>
      <rPr>
        <rFont val="Calibri"/>
        <color rgb="FF002060"/>
        <sz val="11.0"/>
      </rPr>
      <t xml:space="preserve"> worksheet, NOT in this worksheet.</t>
    </r>
  </si>
  <si>
    <r>
      <rPr>
        <rFont val="Calibri"/>
        <b/>
        <color rgb="FF002060"/>
        <sz val="11.0"/>
      </rPr>
      <t>*** CALC - RANKED WORKSHEET ***</t>
    </r>
    <r>
      <rPr>
        <rFont val="Calibri"/>
        <color rgb="FF002060"/>
        <sz val="11.0"/>
      </rPr>
      <t xml:space="preserve">
Do not edit anything in this worksheet. This sheet automatically sorts the Alternatives and their data (from the </t>
    </r>
    <r>
      <rPr>
        <rFont val="Calibri"/>
        <b/>
        <color rgb="FF002060"/>
        <sz val="11.0"/>
        <u/>
      </rPr>
      <t>Calc - Weighted</t>
    </r>
    <r>
      <rPr>
        <rFont val="Calibri"/>
        <color rgb="FF002060"/>
        <sz val="11.0"/>
      </rPr>
      <t xml:space="preserve"> worksheet) by total score.  (Rank = 1 is the highest total score, Rank = 25 is the lowest total score.)
</t>
    </r>
  </si>
  <si>
    <t>This table computes the TOTAL SCORE for each alternative as the weight for criteria 1 is varied from 0 to 100.</t>
  </si>
  <si>
    <t>This table computes the WEIGHTS for criteria 2, …, 20, as the weight for criteria 1 is varied from 0 to 100.</t>
  </si>
  <si>
    <t>Delta</t>
  </si>
  <si>
    <t>Original weight of criteria being</t>
  </si>
  <si>
    <t>used for sensitivity analysis:</t>
  </si>
  <si>
    <t>This table shows the RANK of each alternative, for each chosen weight (row) of the criteria.</t>
  </si>
  <si>
    <t># rank changes</t>
  </si>
  <si>
    <r>
      <rPr>
        <rFont val="Calibri"/>
        <b/>
        <color rgb="FF002060"/>
        <sz val="11.0"/>
      </rPr>
      <t xml:space="preserve">*** CALC - SA ***
</t>
    </r>
    <r>
      <rPr>
        <rFont val="Calibri"/>
        <color rgb="FF002060"/>
        <sz val="11.0"/>
      </rPr>
      <t xml:space="preserve">Do not edit anything in this worksheet. This sheet automatically calculates the alternatives' total scores based on the sensitivity analysis settings in the </t>
    </r>
    <r>
      <rPr>
        <rFont val="Calibri"/>
        <b/>
        <color rgb="FF002060"/>
        <sz val="11.0"/>
        <u/>
      </rPr>
      <t>Sensitivity Analysis</t>
    </r>
    <r>
      <rPr>
        <rFont val="Calibri"/>
        <color rgb="FF002060"/>
        <sz val="11.0"/>
      </rPr>
      <t xml:space="preserve"> worksheet.
</t>
    </r>
  </si>
  <si>
    <r>
      <rPr>
        <rFont val="Calibri"/>
        <b/>
        <color rgb="FF002060"/>
        <sz val="11.0"/>
      </rPr>
      <t>*** UTILITY FUNCTIONS WORKSHEET ***</t>
    </r>
    <r>
      <rPr>
        <rFont val="Calibri"/>
        <color rgb="FF002060"/>
        <sz val="11.0"/>
      </rPr>
      <t xml:space="preserve">
A utility function maps the raw scores for an evaluation criteria into a measure of utility, on a scale of 0.0 to 1.0. You should customize the utility functions as needed so the resultant values reasonably represent the utility to you of the raw scores they represent. By default, each utility function is set to linearly map raw data scores from a utility of 0.0 for the minimum raw score, to 1.0 for the maximum raw score. The utility function tables in this worksheet will be interpolated to determine the utility value of each score in the </t>
    </r>
    <r>
      <rPr>
        <rFont val="Calibri"/>
        <b/>
        <color rgb="FF002060"/>
        <sz val="11.0"/>
        <u/>
      </rPr>
      <t>Raw Data</t>
    </r>
    <r>
      <rPr>
        <rFont val="Calibri"/>
        <color rgb="FF002060"/>
        <sz val="11.0"/>
      </rPr>
      <t xml:space="preserve"> worksheet; these utility values appear in the </t>
    </r>
    <r>
      <rPr>
        <rFont val="Calibri"/>
        <b/>
        <color rgb="FF002060"/>
        <sz val="11.0"/>
        <u/>
      </rPr>
      <t>Calc - Scored</t>
    </r>
    <r>
      <rPr>
        <rFont val="Calibri"/>
        <color rgb="FF002060"/>
        <sz val="11.0"/>
      </rPr>
      <t xml:space="preserve"> worksheet.
</t>
    </r>
    <r>
      <rPr>
        <rFont val="Calibri"/>
        <b/>
        <color rgb="FF002060"/>
        <sz val="11.0"/>
      </rPr>
      <t xml:space="preserve">Instructions:  
You should only edit information in the green boxes. For each evalation criteria,...
</t>
    </r>
    <r>
      <rPr>
        <rFont val="Calibri"/>
        <color rgb="FF002060"/>
        <sz val="11.0"/>
      </rPr>
      <t xml:space="preserve">
1. Choose the appropriate utility function from the drop-down menu. If you want to define your own utility functions, select </t>
    </r>
    <r>
      <rPr>
        <rFont val="Calibri"/>
        <b/>
        <color rgb="FF002060"/>
        <sz val="11.0"/>
      </rPr>
      <t xml:space="preserve">Custom 1 </t>
    </r>
    <r>
      <rPr>
        <rFont val="Calibri"/>
        <color rgb="FF002060"/>
        <sz val="11.0"/>
      </rPr>
      <t xml:space="preserve">or </t>
    </r>
    <r>
      <rPr>
        <rFont val="Calibri"/>
        <b/>
        <color rgb="FF002060"/>
        <sz val="11.0"/>
      </rPr>
      <t>Custom 2</t>
    </r>
    <r>
      <rPr>
        <rFont val="Calibri"/>
        <color rgb="FF002060"/>
        <sz val="11.0"/>
      </rPr>
      <t xml:space="preserve"> from the menu and use the </t>
    </r>
    <r>
      <rPr>
        <rFont val="Calibri"/>
        <b/>
        <color rgb="FF002060"/>
        <sz val="11.0"/>
      </rPr>
      <t>Custom1</t>
    </r>
    <r>
      <rPr>
        <rFont val="Calibri"/>
        <color rgb="FF002060"/>
        <sz val="11.0"/>
      </rPr>
      <t xml:space="preserve"> or </t>
    </r>
    <r>
      <rPr>
        <rFont val="Calibri"/>
        <b/>
        <color rgb="FF002060"/>
        <sz val="11.0"/>
      </rPr>
      <t>Custom2</t>
    </r>
    <r>
      <rPr>
        <rFont val="Calibri"/>
        <color rgb="FF002060"/>
        <sz val="11.0"/>
      </rPr>
      <t xml:space="preserve"> columns to provide the utility scores for these functions. Enter utility values on each row, corresponding to the range of raw scores shown in column H (which are in increments of 1/10 the total  range, from </t>
    </r>
    <r>
      <rPr>
        <rFont val="Calibri"/>
        <b/>
        <color rgb="FF002060"/>
        <sz val="11.0"/>
      </rPr>
      <t>Min Score</t>
    </r>
    <r>
      <rPr>
        <rFont val="Calibri"/>
        <color rgb="FF002060"/>
        <sz val="11.0"/>
      </rPr>
      <t xml:space="preserve"> to </t>
    </r>
    <r>
      <rPr>
        <rFont val="Calibri"/>
        <b/>
        <color rgb="FF002060"/>
        <sz val="11.0"/>
      </rPr>
      <t xml:space="preserve">Max Score </t>
    </r>
    <r>
      <rPr>
        <rFont val="Calibri"/>
        <color rgb="FF002060"/>
        <sz val="11.0"/>
      </rPr>
      <t xml:space="preserve">inclusive).
2. </t>
    </r>
    <r>
      <rPr>
        <rFont val="Calibri"/>
        <b/>
        <color rgb="FF002060"/>
        <sz val="11.0"/>
      </rPr>
      <t>Min Score</t>
    </r>
    <r>
      <rPr>
        <rFont val="Calibri"/>
        <color rgb="FF002060"/>
        <sz val="11.0"/>
      </rPr>
      <t xml:space="preserve"> and </t>
    </r>
    <r>
      <rPr>
        <rFont val="Calibri"/>
        <b/>
        <color rgb="FF002060"/>
        <sz val="11.0"/>
      </rPr>
      <t>Max Score</t>
    </r>
    <r>
      <rPr>
        <rFont val="Calibri"/>
        <color rgb="FF002060"/>
        <sz val="11.0"/>
      </rPr>
      <t xml:space="preserve"> define what raw data range the utitily function maps to. By default these are set to the min and max scores  found in the raw data, but you can make the range larger if you wish. (Do NOT change the range so that it excludes any of the raw data scores, or the utility interpolation for those scores will fail.) Similarly, </t>
    </r>
    <r>
      <rPr>
        <rFont val="Calibri"/>
        <b/>
        <color rgb="FF002060"/>
        <sz val="11.0"/>
      </rPr>
      <t>Min Util</t>
    </r>
    <r>
      <rPr>
        <rFont val="Calibri"/>
        <color rgb="FF002060"/>
        <sz val="11.0"/>
      </rPr>
      <t xml:space="preserve"> and </t>
    </r>
    <r>
      <rPr>
        <rFont val="Calibri"/>
        <b/>
        <color rgb="FF002060"/>
        <sz val="11.0"/>
      </rPr>
      <t>Max Util</t>
    </r>
    <r>
      <rPr>
        <rFont val="Calibri"/>
        <color rgb="FF002060"/>
        <sz val="11.0"/>
      </rPr>
      <t xml:space="preserve"> define the range of utility values the utility function will produce. It is recommended to leave these 0.0 and 1.0, but you can override them if you wish.
4. </t>
    </r>
    <r>
      <rPr>
        <rFont val="Calibri"/>
        <b/>
        <color rgb="FF002060"/>
        <sz val="11.0"/>
      </rPr>
      <t>Power</t>
    </r>
    <r>
      <rPr>
        <rFont val="Calibri"/>
        <color rgb="FF002060"/>
        <sz val="11.0"/>
      </rPr>
      <t xml:space="preserve"> is used by the non-linear utility functions to change the shape of the resultant curve. The higher the power, the more severe the utility function will curve. It is recommended to start with a </t>
    </r>
    <r>
      <rPr>
        <rFont val="Calibri"/>
        <b/>
        <color rgb="FF002060"/>
        <sz val="11.0"/>
      </rPr>
      <t>Power</t>
    </r>
    <r>
      <rPr>
        <rFont val="Calibri"/>
        <color rgb="FF002060"/>
        <sz val="11.0"/>
      </rPr>
      <t xml:space="preserve"> of 2 for the </t>
    </r>
    <r>
      <rPr>
        <rFont val="Calibri"/>
        <b/>
        <color rgb="FF002060"/>
        <sz val="11.0"/>
      </rPr>
      <t>Concave</t>
    </r>
    <r>
      <rPr>
        <rFont val="Calibri"/>
        <color rgb="FF002060"/>
        <sz val="11.0"/>
      </rPr>
      <t xml:space="preserve"> and </t>
    </r>
    <r>
      <rPr>
        <rFont val="Calibri"/>
        <b/>
        <color rgb="FF002060"/>
        <sz val="11.0"/>
      </rPr>
      <t>Convex</t>
    </r>
    <r>
      <rPr>
        <rFont val="Calibri"/>
        <color rgb="FF002060"/>
        <sz val="11.0"/>
      </rPr>
      <t xml:space="preserve"> curves, and a </t>
    </r>
    <r>
      <rPr>
        <rFont val="Calibri"/>
        <b/>
        <color rgb="FF002060"/>
        <sz val="11.0"/>
      </rPr>
      <t>Power</t>
    </r>
    <r>
      <rPr>
        <rFont val="Calibri"/>
        <color rgb="FF002060"/>
        <sz val="11.0"/>
      </rPr>
      <t xml:space="preserve"> of 10 for the </t>
    </r>
    <r>
      <rPr>
        <rFont val="Calibri"/>
        <b/>
        <color rgb="FF002060"/>
        <sz val="11.0"/>
      </rPr>
      <t>S-Curve</t>
    </r>
    <r>
      <rPr>
        <rFont val="Calibri"/>
        <color rgb="FF002060"/>
        <sz val="11.0"/>
      </rPr>
      <t xml:space="preserve"> and </t>
    </r>
    <r>
      <rPr>
        <rFont val="Calibri"/>
        <b/>
        <color rgb="FF002060"/>
        <sz val="11.0"/>
      </rPr>
      <t xml:space="preserve">Concave/Convex </t>
    </r>
    <r>
      <rPr>
        <rFont val="Calibri"/>
        <color rgb="FF002060"/>
        <sz val="11.0"/>
      </rPr>
      <t xml:space="preserve">curve.
5. For </t>
    </r>
    <r>
      <rPr>
        <rFont val="Calibri"/>
        <b/>
        <color rgb="FF002060"/>
        <sz val="11.0"/>
      </rPr>
      <t>Categorical</t>
    </r>
    <r>
      <rPr>
        <rFont val="Calibri"/>
        <color rgb="FF002060"/>
        <sz val="11.0"/>
      </rPr>
      <t xml:space="preserve"> (i.e., non-numerical) evaluation criteria, choose </t>
    </r>
    <r>
      <rPr>
        <rFont val="Calibri"/>
        <b/>
        <color rgb="FF002060"/>
        <sz val="11.0"/>
      </rPr>
      <t>Categorical</t>
    </r>
    <r>
      <rPr>
        <rFont val="Calibri"/>
        <color rgb="FF002060"/>
        <sz val="11.0"/>
      </rPr>
      <t xml:space="preserve"> from the Function menu. Enter the category values and their corresponding utilities to you in the columns to the right.</t>
    </r>
  </si>
  <si>
    <t>Function:</t>
  </si>
  <si>
    <t>Utility Function Calculations -- DO NOT EDIT</t>
  </si>
  <si>
    <t>User-Defined Utility Functions</t>
  </si>
  <si>
    <t>For Categorical 
Evaluation Criteria</t>
  </si>
  <si>
    <t>Min Score:</t>
  </si>
  <si>
    <t>Min Util:</t>
  </si>
  <si>
    <t>Linear</t>
  </si>
  <si>
    <t>Concave</t>
  </si>
  <si>
    <t>Convex</t>
  </si>
  <si>
    <t>S-Curve</t>
  </si>
  <si>
    <t>Concave/Convex</t>
  </si>
  <si>
    <t>Max Score:</t>
  </si>
  <si>
    <t>Max Util:</t>
  </si>
  <si>
    <t>Inc</t>
  </si>
  <si>
    <t>Dec</t>
  </si>
  <si>
    <t>Custom1</t>
  </si>
  <si>
    <t>Custom2</t>
  </si>
  <si>
    <t>Category</t>
  </si>
  <si>
    <t>Utility</t>
  </si>
  <si>
    <t>Power:</t>
  </si>
  <si>
    <t>Raw Score</t>
  </si>
  <si>
    <t>Linear Increasing</t>
  </si>
  <si>
    <t>Linear Decreasing</t>
  </si>
  <si>
    <t>Concave Increasing</t>
  </si>
  <si>
    <t>Concave Decreasing</t>
  </si>
  <si>
    <t>Convex Increasing</t>
  </si>
  <si>
    <t>Convex Decreasing</t>
  </si>
  <si>
    <t>S-Curve Increasing</t>
  </si>
  <si>
    <t>S-Curve Decreasing</t>
  </si>
  <si>
    <t>Concave/Convex Increasing</t>
  </si>
  <si>
    <t>Concave/Convex Decreasing</t>
  </si>
  <si>
    <t>Custom 1</t>
  </si>
  <si>
    <t>Custom 2</t>
  </si>
  <si>
    <t>Categorical</t>
  </si>
  <si>
    <t>Choose criteria for sensitivity analysis:</t>
  </si>
  <si>
    <t>In Evaluation worksheet, this weight is currently set to:</t>
  </si>
  <si>
    <t>Minimum weight for sensitivity analysis:</t>
  </si>
  <si>
    <t>Maximum weight for sensitivity analysis:</t>
  </si>
  <si>
    <t>Across this weight range, highlighted alternatives changed rank as follows:</t>
  </si>
  <si>
    <t>From
rank</t>
  </si>
  <si>
    <t>To
rank</t>
  </si>
  <si>
    <t>This table shows the intersection points for each pair of alternatives, in the Sensitivity Analysis chart -- i.e., the weights at which the alternatives trade rank.</t>
  </si>
  <si>
    <t># Rank Changes:</t>
  </si>
  <si>
    <r>
      <rPr>
        <rFont val="Calibri"/>
        <b/>
        <color rgb="FF002060"/>
        <sz val="11.0"/>
      </rPr>
      <t xml:space="preserve">*** CALC - SA ***
</t>
    </r>
    <r>
      <rPr>
        <rFont val="Calibri"/>
        <color rgb="FF002060"/>
        <sz val="11.0"/>
      </rPr>
      <t xml:space="preserve">Do not edit anything in this worksheet. This sheet automatically calculates the weights at which each pair of alternatives trade rank, for the criteria chosen for sensitivity analysis in the </t>
    </r>
    <r>
      <rPr>
        <rFont val="Calibri"/>
        <b/>
        <color rgb="FF002060"/>
        <sz val="11.0"/>
        <u/>
      </rPr>
      <t>Sensitivity Analysis</t>
    </r>
    <r>
      <rPr>
        <rFont val="Calibri"/>
        <color rgb="FF002060"/>
        <sz val="11.0"/>
      </rPr>
      <t xml:space="preserve"> worksheet. These are the weights at which the two alternatives' lines cross in the plot (although some/ many/ all may cross at weights that lie outside the chosen plot values).</t>
    </r>
  </si>
  <si>
    <t>License Agreement</t>
  </si>
  <si>
    <t>By downloading and/or using this Trade Study Template for MS Excel (the "template"), you agree to abide by the following terms:</t>
  </si>
  <si>
    <t>LIMITED USE</t>
  </si>
  <si>
    <t>You may download and use this template, make copies, and distribute this template to others. You may distribute this</t>
  </si>
  <si>
    <t>template either unmodified, or populated with your own decision problem data.</t>
  </si>
  <si>
    <t>You may NOT remove or alter copyrights, disclaimers, terms of use, or any other notices within this template.</t>
  </si>
  <si>
    <t>You may NOT sell this template or any file, document, or other work including or derived from this template.</t>
  </si>
  <si>
    <t>You may customize this template as needed for your own private use. "Customize" means altering the template beyond</t>
  </si>
  <si>
    <t xml:space="preserve">merely populating it with the data for your decision problem. Examples of customizing include but are not limited to </t>
  </si>
  <si>
    <t>adding new features, modifying existing cell equations, editing instructions, adding or modifying embedded VBA macros, etc.</t>
  </si>
  <si>
    <t>You may NOT distribute to others any version of this template that has been customized, except as noted under LIMITED SHARING.</t>
  </si>
  <si>
    <t>LIMITED SHARING</t>
  </si>
  <si>
    <t>Provided that you abide by the above terms, you may share any customized versions of this template privately with specific</t>
  </si>
  <si>
    <t>people (e.g., in your company) who require access to it. "Privately" means it is only accessible to those people you explicitly</t>
  </si>
  <si>
    <t>give permission to view or edit the file. It is your responsibility to ensure that adequate security measures are used so that</t>
  </si>
  <si>
    <t>the customized template is not available to the public.</t>
  </si>
  <si>
    <t>NO WARRANTY</t>
  </si>
  <si>
    <t>This template and any related documentation are provided "AS IS."</t>
  </si>
  <si>
    <t>No warranty is provided for this template. No support is provided for this template or its use.</t>
  </si>
  <si>
    <t>The author expressly disclaims any representation, oral or written, including but not limited to implied warranties,</t>
  </si>
  <si>
    <t>fitness for a particular purpose, and noninfringement. You accept that the software may not meet your requirements,</t>
  </si>
  <si>
    <t>or operate error free or accurately.</t>
  </si>
  <si>
    <t>LIMITATION OF LIABILITY</t>
  </si>
  <si>
    <t>The author expressly disclaims any liability for any harm, loss, or damages resulting from your use of this template.</t>
  </si>
  <si>
    <t>The organization, business, or person using this software bears all risks and responsibility for the quality and</t>
  </si>
  <si>
    <t>performance of this template.</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</si>
</sst>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00"/>
    <numFmt numFmtId="165" formatCode="0.000000"/>
    <numFmt numFmtId="166" formatCode="0.0"/>
  </numFmts>
  <fonts count="11">
    <font>
      <sz val="11.0"/>
      <color theme="1"/>
      <name val="Calibri"/>
      <scheme val="minor"/>
    </font>
    <font>
      <b/>
      <sz val="14.0"/>
      <color theme="1"/>
      <name val="Calibri"/>
    </font>
    <font>
      <b/>
      <sz val="11.0"/>
      <color theme="1"/>
      <name val="Calibri"/>
    </font>
    <font>
      <color theme="1"/>
      <name val="Calibri"/>
    </font>
    <font>
      <u/>
      <sz val="11.0"/>
      <color theme="10"/>
      <name val="Calibri"/>
    </font>
    <font>
      <sz val="11.0"/>
      <color rgb="FF002060"/>
      <name val="Calibri"/>
    </font>
    <font/>
    <font>
      <sz val="11.0"/>
      <color theme="0"/>
      <name val="Calibri"/>
    </font>
    <font>
      <sz val="11.0"/>
      <color theme="1"/>
      <name val="Calibri"/>
    </font>
    <font>
      <b/>
      <sz val="8.0"/>
      <color theme="1"/>
      <name val="Calibri"/>
    </font>
    <font>
      <sz val="8.0"/>
      <color theme="1"/>
      <name val="Calibri"/>
    </font>
  </fonts>
  <fills count="15">
    <fill>
      <patternFill patternType="none"/>
    </fill>
    <fill>
      <patternFill patternType="lightGray"/>
    </fill>
    <fill>
      <patternFill patternType="solid">
        <fgColor rgb="FFFFFF99"/>
        <bgColor rgb="FFFFFF99"/>
      </patternFill>
    </fill>
    <fill>
      <patternFill patternType="solid">
        <fgColor rgb="FF8DB3E2"/>
        <bgColor rgb="FF8DB3E2"/>
      </patternFill>
    </fill>
    <fill>
      <patternFill patternType="solid">
        <fgColor theme="1"/>
        <bgColor theme="1"/>
      </patternFill>
    </fill>
    <fill>
      <patternFill patternType="solid">
        <fgColor rgb="FF0070C0"/>
        <bgColor rgb="FF0070C0"/>
      </patternFill>
    </fill>
    <fill>
      <patternFill patternType="solid">
        <fgColor rgb="FF92D050"/>
        <bgColor rgb="FF92D050"/>
      </patternFill>
    </fill>
    <fill>
      <patternFill patternType="solid">
        <fgColor rgb="FFFFFF00"/>
        <bgColor rgb="FFFFFF00"/>
      </patternFill>
    </fill>
    <fill>
      <patternFill patternType="solid">
        <fgColor rgb="FF7030A0"/>
        <bgColor rgb="FF7030A0"/>
      </patternFill>
    </fill>
    <fill>
      <patternFill patternType="solid">
        <fgColor rgb="FFC00000"/>
        <bgColor rgb="FFC00000"/>
      </patternFill>
    </fill>
    <fill>
      <patternFill patternType="solid">
        <fgColor rgb="FF00B0F0"/>
        <bgColor rgb="FF00B0F0"/>
      </patternFill>
    </fill>
    <fill>
      <patternFill patternType="solid">
        <fgColor rgb="FF00B050"/>
        <bgColor rgb="FF00B050"/>
      </patternFill>
    </fill>
    <fill>
      <patternFill patternType="solid">
        <fgColor rgb="FFB8CCE4"/>
        <bgColor rgb="FFB8CCE4"/>
      </patternFill>
    </fill>
    <fill>
      <patternFill patternType="solid">
        <fgColor rgb="FFC2D69B"/>
        <bgColor rgb="FFC2D69B"/>
      </patternFill>
    </fill>
    <fill>
      <patternFill patternType="solid">
        <fgColor rgb="FF7F7F7F"/>
        <bgColor rgb="FF7F7F7F"/>
      </patternFill>
    </fill>
  </fills>
  <borders count="49">
    <border/>
    <border>
      <left style="medium">
        <color rgb="FF002060"/>
      </left>
      <top style="medium">
        <color rgb="FF002060"/>
      </top>
    </border>
    <border>
      <top style="medium">
        <color rgb="FF002060"/>
      </top>
    </border>
    <border>
      <right style="medium">
        <color rgb="FF002060"/>
      </right>
      <top style="medium">
        <color rgb="FF002060"/>
      </top>
    </border>
    <border>
      <left style="medium">
        <color rgb="FF002060"/>
      </left>
    </border>
    <border>
      <right style="medium">
        <color rgb="FF002060"/>
      </right>
    </border>
    <border>
      <left style="medium">
        <color rgb="FF002060"/>
      </left>
      <bottom style="medium">
        <color rgb="FF002060"/>
      </bottom>
    </border>
    <border>
      <bottom style="medium">
        <color rgb="FF002060"/>
      </bottom>
    </border>
    <border>
      <right style="medium">
        <color rgb="FF002060"/>
      </right>
      <bottom style="medium">
        <color rgb="FF002060"/>
      </bottom>
    </border>
    <border>
      <left style="thin">
        <color rgb="FF000000"/>
      </left>
      <right style="thin">
        <color rgb="FF000000"/>
      </right>
      <top style="thin">
        <color rgb="FF000000"/>
      </top>
      <bottom style="thin">
        <color rgb="FF000000"/>
      </bottom>
    </border>
    <border>
      <left style="thin">
        <color rgb="FF000000"/>
      </left>
      <right style="thin">
        <color rgb="FF000000"/>
      </right>
    </border>
    <border>
      <left style="thin">
        <color rgb="FF000000"/>
      </left>
      <top style="thin">
        <color rgb="FF000000"/>
      </top>
      <bottom/>
    </border>
    <border>
      <top style="thin">
        <color rgb="FF000000"/>
      </top>
      <bottom/>
    </border>
    <border>
      <left/>
      <right/>
      <top style="thin">
        <color rgb="FF000000"/>
      </top>
      <bottom/>
    </border>
    <border>
      <left/>
      <top style="thin">
        <color rgb="FF000000"/>
      </top>
      <bottom/>
    </border>
    <border>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bottom style="medium">
        <color rgb="FF000000"/>
      </bottom>
    </border>
    <border>
      <left style="medium">
        <color rgb="FF000000"/>
      </left>
      <right/>
      <top style="medium">
        <color rgb="FF000000"/>
      </top>
      <bottom/>
    </border>
    <border>
      <left/>
      <right/>
      <top style="medium">
        <color rgb="FF000000"/>
      </top>
      <bottom/>
    </border>
    <border>
      <left/>
      <right style="medium">
        <color rgb="FF000000"/>
      </right>
      <top style="medium">
        <color rgb="FF000000"/>
      </top>
      <bottom/>
    </border>
    <border>
      <left style="thin">
        <color rgb="FF000000"/>
      </left>
      <top style="thin">
        <color rgb="FF000000"/>
      </top>
    </border>
    <border>
      <right style="thin">
        <color rgb="FF000000"/>
      </right>
      <top style="thin">
        <color rgb="FF000000"/>
      </top>
    </border>
    <border>
      <left style="medium">
        <color rgb="FF000000"/>
      </left>
      <right/>
      <top/>
      <bottom/>
    </border>
    <border>
      <left/>
      <right/>
      <top/>
      <bottom/>
    </border>
    <border>
      <left/>
      <right style="medium">
        <color rgb="FF000000"/>
      </right>
      <top/>
      <bottom/>
    </border>
    <border>
      <left style="thin">
        <color rgb="FF000000"/>
      </left>
      <bottom style="thin">
        <color rgb="FF000000"/>
      </bottom>
    </border>
    <border>
      <right style="thin">
        <color rgb="FF000000"/>
      </right>
      <bottom style="thin">
        <color rgb="FF000000"/>
      </bottom>
    </border>
    <border>
      <left style="thin">
        <color rgb="FF000000"/>
      </left>
      <right/>
      <top/>
      <bottom/>
    </border>
    <border>
      <left/>
      <right style="thin">
        <color rgb="FF000000"/>
      </right>
      <top/>
      <bottom/>
    </border>
    <border>
      <left/>
      <right style="thin">
        <color rgb="FF000000"/>
      </right>
      <top style="thin">
        <color rgb="FF000000"/>
      </top>
      <bottom style="thin">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top style="thin">
        <color rgb="FF000000"/>
      </top>
    </border>
    <border>
      <left style="thin">
        <color rgb="FF000000"/>
      </left>
      <right style="thin">
        <color rgb="FF000000"/>
      </right>
      <top style="thin">
        <color rgb="FF000000"/>
      </top>
      <bottom/>
    </border>
    <border>
      <left/>
      <right style="thin">
        <color rgb="FF000000"/>
      </right>
      <top style="thin">
        <color rgb="FF000000"/>
      </top>
      <bottom/>
    </border>
    <border>
      <left style="thin">
        <color rgb="FF000000"/>
      </left>
    </border>
    <border>
      <right style="thin">
        <color rgb="FF000000"/>
      </right>
    </border>
    <border>
      <left style="thin">
        <color rgb="FF000000"/>
      </left>
      <right style="thin">
        <color rgb="FF000000"/>
      </right>
      <top/>
      <bottom/>
    </border>
    <border>
      <bottom style="thin">
        <color rgb="FF000000"/>
      </bottom>
    </border>
    <border>
      <left style="thin">
        <color rgb="FF000000"/>
      </left>
      <right style="thin">
        <color rgb="FF000000"/>
      </right>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s>
  <cellStyleXfs count="1">
    <xf borderId="0" fillId="0" fontId="0" numFmtId="0" applyAlignment="1" applyFont="1"/>
  </cellStyleXfs>
  <cellXfs count="124">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1" fillId="2" fontId="5" numFmtId="0" xfId="0" applyAlignment="1" applyBorder="1" applyFill="1" applyFont="1">
      <alignment horizontal="left" shrinkToFit="0" vertical="top" wrapText="1"/>
    </xf>
    <xf borderId="2" fillId="0" fontId="6" numFmtId="0" xfId="0" applyBorder="1" applyFont="1"/>
    <xf borderId="3" fillId="0" fontId="6" numFmtId="0" xfId="0" applyBorder="1" applyFont="1"/>
    <xf borderId="0" fillId="0" fontId="7" numFmtId="0" xfId="0" applyAlignment="1" applyFont="1">
      <alignment shrinkToFit="0" vertical="top" wrapText="1"/>
    </xf>
    <xf borderId="4" fillId="0" fontId="6" numFmtId="0" xfId="0" applyBorder="1" applyFont="1"/>
    <xf borderId="5" fillId="0" fontId="6" numFmtId="0" xfId="0" applyBorder="1" applyFont="1"/>
    <xf borderId="6" fillId="0" fontId="6" numFmtId="0" xfId="0" applyBorder="1" applyFont="1"/>
    <xf borderId="7" fillId="0" fontId="6" numFmtId="0" xfId="0" applyBorder="1" applyFont="1"/>
    <xf borderId="8" fillId="0" fontId="6" numFmtId="0" xfId="0" applyBorder="1" applyFont="1"/>
    <xf borderId="9" fillId="3" fontId="2" numFmtId="0" xfId="0" applyAlignment="1" applyBorder="1" applyFill="1" applyFont="1">
      <alignment horizontal="center"/>
    </xf>
    <xf borderId="9" fillId="3" fontId="2" numFmtId="0" xfId="0" applyAlignment="1" applyBorder="1" applyFont="1">
      <alignment horizontal="center" vertical="bottom"/>
    </xf>
    <xf borderId="9" fillId="3" fontId="2" numFmtId="0" xfId="0" applyAlignment="1" applyBorder="1" applyFont="1">
      <alignment horizontal="center" vertical="bottom"/>
    </xf>
    <xf borderId="9" fillId="0" fontId="2" numFmtId="0" xfId="0" applyAlignment="1" applyBorder="1" applyFont="1">
      <alignment readingOrder="0"/>
    </xf>
    <xf borderId="9" fillId="0" fontId="8" numFmtId="0" xfId="0" applyAlignment="1" applyBorder="1" applyFont="1">
      <alignment horizontal="right" vertical="bottom"/>
    </xf>
    <xf borderId="9" fillId="0" fontId="8" numFmtId="0" xfId="0" applyAlignment="1" applyBorder="1" applyFont="1">
      <alignment horizontal="right" readingOrder="0" vertical="bottom"/>
    </xf>
    <xf borderId="10" fillId="0" fontId="2" numFmtId="0" xfId="0" applyAlignment="1" applyBorder="1" applyFont="1">
      <alignment horizontal="right"/>
    </xf>
    <xf borderId="0" fillId="0" fontId="2" numFmtId="0" xfId="0" applyAlignment="1" applyFont="1">
      <alignment horizontal="left"/>
    </xf>
    <xf borderId="11" fillId="3" fontId="2" numFmtId="0" xfId="0" applyAlignment="1" applyBorder="1" applyFont="1">
      <alignment horizontal="left"/>
    </xf>
    <xf borderId="12" fillId="0" fontId="6" numFmtId="0" xfId="0" applyBorder="1" applyFont="1"/>
    <xf borderId="13" fillId="3" fontId="8" numFmtId="0" xfId="0" applyBorder="1" applyFont="1"/>
    <xf borderId="14" fillId="3" fontId="2" numFmtId="0" xfId="0" applyAlignment="1" applyBorder="1" applyFont="1">
      <alignment horizontal="center"/>
    </xf>
    <xf borderId="14" fillId="3" fontId="2" numFmtId="0" xfId="0" applyAlignment="1" applyBorder="1" applyFont="1">
      <alignment horizontal="right"/>
    </xf>
    <xf borderId="15" fillId="0" fontId="6" numFmtId="0" xfId="0" applyBorder="1" applyFont="1"/>
    <xf borderId="0" fillId="0" fontId="2" numFmtId="0" xfId="0" applyAlignment="1" applyFont="1">
      <alignment horizontal="right"/>
    </xf>
    <xf borderId="16" fillId="4" fontId="8" numFmtId="0" xfId="0" applyBorder="1" applyFill="1" applyFont="1"/>
    <xf borderId="17" fillId="3" fontId="8" numFmtId="0" xfId="0" applyBorder="1" applyFont="1"/>
    <xf borderId="17" fillId="4" fontId="8" numFmtId="0" xfId="0" applyBorder="1" applyFont="1"/>
    <xf borderId="18" fillId="4" fontId="8" numFmtId="0" xfId="0" applyBorder="1" applyFont="1"/>
    <xf borderId="9" fillId="0" fontId="2" numFmtId="0" xfId="0" applyBorder="1" applyFont="1"/>
    <xf borderId="19" fillId="0" fontId="8" numFmtId="0" xfId="0" applyBorder="1" applyFont="1"/>
    <xf borderId="20" fillId="0" fontId="8" numFmtId="0" xfId="0" applyBorder="1" applyFont="1"/>
    <xf borderId="21" fillId="0" fontId="8" numFmtId="0" xfId="0" applyBorder="1" applyFont="1"/>
    <xf borderId="9" fillId="0" fontId="8" numFmtId="164" xfId="0" applyBorder="1" applyFont="1" applyNumberFormat="1"/>
    <xf borderId="9" fillId="0" fontId="8" numFmtId="0" xfId="0" applyAlignment="1" applyBorder="1" applyFont="1">
      <alignment horizontal="center"/>
    </xf>
    <xf borderId="0" fillId="0" fontId="8" numFmtId="0" xfId="0" applyAlignment="1" applyFont="1">
      <alignment horizontal="right"/>
    </xf>
    <xf borderId="0" fillId="0" fontId="8" numFmtId="0" xfId="0" applyAlignment="1" applyFont="1">
      <alignment horizontal="center"/>
    </xf>
    <xf borderId="0" fillId="0" fontId="8" numFmtId="0" xfId="0" applyAlignment="1" applyFont="1">
      <alignment horizontal="left"/>
    </xf>
    <xf borderId="0" fillId="0" fontId="9" numFmtId="0" xfId="0" applyAlignment="1" applyFont="1">
      <alignment horizontal="center"/>
    </xf>
    <xf borderId="9" fillId="5" fontId="8" numFmtId="0" xfId="0" applyBorder="1" applyFill="1" applyFont="1"/>
    <xf borderId="9" fillId="0" fontId="8" numFmtId="164" xfId="0" applyAlignment="1" applyBorder="1" applyFont="1" applyNumberFormat="1">
      <alignment readingOrder="0"/>
    </xf>
    <xf borderId="0" fillId="0" fontId="10" numFmtId="164" xfId="0" applyFont="1" applyNumberFormat="1"/>
    <xf borderId="9" fillId="6" fontId="8" numFmtId="0" xfId="0" applyBorder="1" applyFill="1" applyFont="1"/>
    <xf borderId="9" fillId="7" fontId="8" numFmtId="0" xfId="0" applyBorder="1" applyFill="1" applyFont="1"/>
    <xf borderId="9" fillId="8" fontId="8" numFmtId="0" xfId="0" applyBorder="1" applyFill="1" applyFont="1"/>
    <xf borderId="9" fillId="9" fontId="8" numFmtId="0" xfId="0" applyBorder="1" applyFill="1" applyFont="1"/>
    <xf borderId="9" fillId="10" fontId="8" numFmtId="0" xfId="0" applyBorder="1" applyFill="1" applyFont="1"/>
    <xf borderId="9" fillId="11" fontId="8" numFmtId="0" xfId="0" applyBorder="1" applyFill="1" applyFont="1"/>
    <xf borderId="9" fillId="0" fontId="2" numFmtId="164" xfId="0" applyBorder="1" applyFont="1" applyNumberFormat="1"/>
    <xf borderId="19" fillId="12" fontId="2" numFmtId="0" xfId="0" applyAlignment="1" applyBorder="1" applyFill="1" applyFont="1">
      <alignment horizontal="center"/>
    </xf>
    <xf borderId="20" fillId="0" fontId="6" numFmtId="0" xfId="0" applyBorder="1" applyFont="1"/>
    <xf borderId="21" fillId="0" fontId="6" numFmtId="0" xfId="0" applyBorder="1" applyFont="1"/>
    <xf borderId="9" fillId="12" fontId="2" numFmtId="0" xfId="0" applyAlignment="1" applyBorder="1" applyFont="1">
      <alignment horizontal="center"/>
    </xf>
    <xf borderId="9" fillId="0" fontId="8" numFmtId="165" xfId="0" applyBorder="1" applyFont="1" applyNumberFormat="1"/>
    <xf borderId="11" fillId="3" fontId="2" numFmtId="0" xfId="0" applyAlignment="1" applyBorder="1" applyFont="1">
      <alignment horizontal="center"/>
    </xf>
    <xf borderId="0" fillId="0" fontId="3" numFmtId="164" xfId="0" applyFont="1" applyNumberFormat="1"/>
    <xf borderId="9" fillId="0" fontId="8" numFmtId="0" xfId="0" applyBorder="1" applyFont="1"/>
    <xf borderId="0" fillId="0" fontId="8" numFmtId="164" xfId="0" applyFont="1" applyNumberFormat="1"/>
    <xf borderId="0" fillId="0" fontId="2" numFmtId="0" xfId="0" applyAlignment="1" applyFont="1">
      <alignment horizontal="right" shrinkToFit="0" wrapText="1"/>
    </xf>
    <xf borderId="0" fillId="0" fontId="2" numFmtId="0" xfId="0" applyAlignment="1" applyFont="1">
      <alignment horizontal="center"/>
    </xf>
    <xf borderId="19" fillId="12" fontId="2" numFmtId="0" xfId="0" applyAlignment="1" applyBorder="1" applyFont="1">
      <alignment horizontal="left"/>
    </xf>
    <xf borderId="9" fillId="0" fontId="8" numFmtId="166" xfId="0" applyAlignment="1" applyBorder="1" applyFont="1" applyNumberFormat="1">
      <alignment horizontal="center"/>
    </xf>
    <xf borderId="9" fillId="0" fontId="8" numFmtId="166" xfId="0" applyBorder="1" applyFont="1" applyNumberFormat="1"/>
    <xf borderId="0" fillId="0" fontId="8" numFmtId="166" xfId="0" applyFont="1" applyNumberFormat="1"/>
    <xf borderId="0" fillId="0" fontId="2" numFmtId="0" xfId="0" applyAlignment="1" applyFont="1">
      <alignment horizontal="left" shrinkToFit="0" wrapText="1"/>
    </xf>
    <xf borderId="10" fillId="0" fontId="8" numFmtId="0" xfId="0" applyBorder="1" applyFont="1"/>
    <xf borderId="22" fillId="0" fontId="8" numFmtId="0" xfId="0" applyBorder="1" applyFont="1"/>
    <xf borderId="22" fillId="0" fontId="8" numFmtId="164" xfId="0" applyBorder="1" applyFont="1" applyNumberFormat="1"/>
    <xf borderId="23" fillId="13" fontId="2" numFmtId="0" xfId="0" applyAlignment="1" applyBorder="1" applyFill="1" applyFont="1">
      <alignment horizontal="right"/>
    </xf>
    <xf borderId="24" fillId="13" fontId="8" numFmtId="0" xfId="0" applyBorder="1" applyFont="1"/>
    <xf borderId="25" fillId="13" fontId="8" numFmtId="0" xfId="0" applyBorder="1" applyFont="1"/>
    <xf borderId="19" fillId="3" fontId="2" numFmtId="0" xfId="0" applyAlignment="1" applyBorder="1" applyFont="1">
      <alignment horizontal="center"/>
    </xf>
    <xf borderId="26" fillId="13" fontId="2" numFmtId="0" xfId="0" applyAlignment="1" applyBorder="1" applyFont="1">
      <alignment horizontal="center" shrinkToFit="0" wrapText="1"/>
    </xf>
    <xf borderId="27" fillId="0" fontId="6" numFmtId="0" xfId="0" applyBorder="1" applyFont="1"/>
    <xf borderId="28" fillId="13" fontId="2" numFmtId="0" xfId="0" applyAlignment="1" applyBorder="1" applyFont="1">
      <alignment horizontal="right"/>
    </xf>
    <xf borderId="29" fillId="13" fontId="8" numFmtId="2" xfId="0" applyBorder="1" applyFont="1" applyNumberFormat="1"/>
    <xf borderId="29" fillId="13" fontId="2" numFmtId="0" xfId="0" applyAlignment="1" applyBorder="1" applyFont="1">
      <alignment horizontal="right"/>
    </xf>
    <xf borderId="30" fillId="13" fontId="8" numFmtId="2" xfId="0" applyBorder="1" applyFont="1" applyNumberFormat="1"/>
    <xf borderId="31" fillId="0" fontId="6" numFmtId="0" xfId="0" applyBorder="1" applyFont="1"/>
    <xf borderId="32" fillId="0" fontId="6" numFmtId="0" xfId="0" applyBorder="1" applyFont="1"/>
    <xf borderId="33" fillId="3" fontId="2" numFmtId="0" xfId="0" applyAlignment="1" applyBorder="1" applyFont="1">
      <alignment horizontal="center"/>
    </xf>
    <xf borderId="34" fillId="3" fontId="2" numFmtId="0" xfId="0" applyAlignment="1" applyBorder="1" applyFont="1">
      <alignment horizontal="center"/>
    </xf>
    <xf borderId="9" fillId="13" fontId="2" numFmtId="0" xfId="0" applyAlignment="1" applyBorder="1" applyFont="1">
      <alignment horizontal="center"/>
    </xf>
    <xf borderId="35" fillId="13" fontId="2" numFmtId="0" xfId="0" applyAlignment="1" applyBorder="1" applyFont="1">
      <alignment horizontal="center"/>
    </xf>
    <xf borderId="36" fillId="13" fontId="8" numFmtId="0" xfId="0" applyBorder="1" applyFont="1"/>
    <xf borderId="37" fillId="13" fontId="8" numFmtId="0" xfId="0" applyBorder="1" applyFont="1"/>
    <xf borderId="37" fillId="13" fontId="2" numFmtId="0" xfId="0" applyAlignment="1" applyBorder="1" applyFont="1">
      <alignment horizontal="right"/>
    </xf>
    <xf borderId="38" fillId="13" fontId="8" numFmtId="2" xfId="0" applyBorder="1" applyFont="1" applyNumberFormat="1"/>
    <xf borderId="26" fillId="0" fontId="8" numFmtId="164" xfId="0" applyBorder="1" applyFont="1" applyNumberFormat="1"/>
    <xf borderId="39" fillId="0" fontId="8" numFmtId="164" xfId="0" applyBorder="1" applyFont="1" applyNumberFormat="1"/>
    <xf borderId="27" fillId="0" fontId="8" numFmtId="164" xfId="0" applyBorder="1" applyFont="1" applyNumberFormat="1"/>
    <xf borderId="40" fillId="13" fontId="8" numFmtId="164" xfId="0" applyBorder="1" applyFont="1" applyNumberFormat="1"/>
    <xf borderId="40" fillId="13" fontId="8" numFmtId="0" xfId="0" applyBorder="1" applyFont="1"/>
    <xf borderId="41" fillId="13" fontId="8" numFmtId="164" xfId="0" applyBorder="1" applyFont="1" applyNumberFormat="1"/>
    <xf borderId="42" fillId="0" fontId="8" numFmtId="164" xfId="0" applyBorder="1" applyFont="1" applyNumberFormat="1"/>
    <xf borderId="43" fillId="0" fontId="8" numFmtId="164" xfId="0" applyBorder="1" applyFont="1" applyNumberFormat="1"/>
    <xf borderId="44" fillId="13" fontId="8" numFmtId="164" xfId="0" applyBorder="1" applyFont="1" applyNumberFormat="1"/>
    <xf borderId="44" fillId="13" fontId="8" numFmtId="0" xfId="0" applyBorder="1" applyFont="1"/>
    <xf borderId="34" fillId="13" fontId="8" numFmtId="164" xfId="0" applyBorder="1" applyFont="1" applyNumberFormat="1"/>
    <xf borderId="0" fillId="0" fontId="8" numFmtId="2" xfId="0" applyFont="1" applyNumberFormat="1"/>
    <xf borderId="31" fillId="0" fontId="8" numFmtId="164" xfId="0" applyBorder="1" applyFont="1" applyNumberFormat="1"/>
    <xf borderId="45" fillId="0" fontId="8" numFmtId="164" xfId="0" applyBorder="1" applyFont="1" applyNumberFormat="1"/>
    <xf borderId="32" fillId="0" fontId="8" numFmtId="164" xfId="0" applyBorder="1" applyFont="1" applyNumberFormat="1"/>
    <xf borderId="46" fillId="13" fontId="8" numFmtId="164" xfId="0" applyBorder="1" applyFont="1" applyNumberFormat="1"/>
    <xf borderId="46" fillId="13" fontId="8" numFmtId="0" xfId="0" applyBorder="1" applyFont="1"/>
    <xf borderId="18" fillId="13" fontId="8" numFmtId="164" xfId="0" applyBorder="1" applyFont="1" applyNumberFormat="1"/>
    <xf borderId="7" fillId="0" fontId="8" numFmtId="0" xfId="0" applyBorder="1" applyFont="1"/>
    <xf borderId="26" fillId="12" fontId="2" numFmtId="0" xfId="0" applyAlignment="1" applyBorder="1" applyFont="1">
      <alignment horizontal="left" shrinkToFit="0" wrapText="1"/>
    </xf>
    <xf borderId="39" fillId="0" fontId="6" numFmtId="0" xfId="0" applyBorder="1" applyFont="1"/>
    <xf borderId="45" fillId="0" fontId="6" numFmtId="0" xfId="0" applyBorder="1" applyFont="1"/>
    <xf borderId="9" fillId="0" fontId="8" numFmtId="2" xfId="0" applyBorder="1" applyFont="1" applyNumberFormat="1"/>
    <xf borderId="26" fillId="12" fontId="2" numFmtId="0" xfId="0" applyAlignment="1" applyBorder="1" applyFont="1">
      <alignment horizontal="center" shrinkToFit="0" wrapText="1"/>
    </xf>
    <xf borderId="47" fillId="12" fontId="2" numFmtId="0" xfId="0" applyAlignment="1" applyBorder="1" applyFont="1">
      <alignment horizontal="center" shrinkToFit="0" wrapText="1"/>
    </xf>
    <xf borderId="48" fillId="0" fontId="6" numFmtId="0" xfId="0" applyBorder="1" applyFont="1"/>
    <xf borderId="19" fillId="0" fontId="8" numFmtId="0" xfId="0" applyAlignment="1" applyBorder="1" applyFont="1">
      <alignment horizontal="left"/>
    </xf>
    <xf borderId="9" fillId="12" fontId="2" numFmtId="0" xfId="0" applyAlignment="1" applyBorder="1" applyFont="1">
      <alignment horizontal="left"/>
    </xf>
    <xf borderId="9" fillId="14" fontId="8" numFmtId="164" xfId="0" applyBorder="1" applyFill="1" applyFont="1" applyNumberFormat="1"/>
    <xf borderId="9" fillId="14" fontId="8" numFmtId="164" xfId="0" applyAlignment="1" applyBorder="1" applyFont="1" applyNumberFormat="1">
      <alignment vertical="center"/>
    </xf>
    <xf borderId="9" fillId="0" fontId="8" numFmtId="164" xfId="0" applyAlignment="1" applyBorder="1" applyFont="1" applyNumberFormat="1">
      <alignment vertical="center"/>
    </xf>
    <xf borderId="0" fillId="0" fontId="8" numFmtId="1" xfId="0" applyFont="1" applyNumberFormat="1"/>
  </cellXfs>
  <cellStyles count="1">
    <cellStyle xfId="0" name="Normal" builtinId="0"/>
  </cellStyles>
  <dxfs count="1">
    <dxf>
      <font>
        <b/>
      </font>
      <fill>
        <patternFill patternType="solid">
          <fgColor rgb="FFFFFF00"/>
          <bgColor rgb="FFFFFF0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a:solidFill>
                  <a:srgbClr val="000000"/>
                </a:solidFill>
                <a:latin typeface="+mn-lt"/>
              </a:defRPr>
            </a:pPr>
            <a:r>
              <a:rPr b="1">
                <a:solidFill>
                  <a:srgbClr val="000000"/>
                </a:solidFill>
                <a:latin typeface="+mn-lt"/>
              </a:rPr>
              <a:t>Spike and Drip Chamber Trade Study</a:t>
            </a:r>
          </a:p>
        </c:rich>
      </c:tx>
      <c:overlay val="0"/>
    </c:title>
    <c:plotArea>
      <c:layout/>
      <c:barChart>
        <c:barDir val="col"/>
        <c:ser>
          <c:idx val="0"/>
          <c:order val="0"/>
          <c:spPr>
            <a:solidFill>
              <a:schemeClr val="accent1"/>
            </a:solidFill>
            <a:ln cmpd="sng">
              <a:solidFill>
                <a:srgbClr val="000000"/>
              </a:solidFill>
            </a:ln>
          </c:spPr>
          <c:cat>
            <c:strRef>
              <c:f>'Calc - Ranked'!$B$3:$B$8</c:f>
            </c:strRef>
          </c:cat>
          <c:val>
            <c:numRef>
              <c:f>'Calc - Ranked'!$J$3:$J$8</c:f>
              <c:numCache/>
            </c:numRef>
          </c:val>
        </c:ser>
        <c:axId val="191719499"/>
        <c:axId val="1910379468"/>
      </c:barChart>
      <c:catAx>
        <c:axId val="19171949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a:solidFill>
                  <a:srgbClr val="000000"/>
                </a:solidFill>
                <a:latin typeface="+mn-lt"/>
              </a:defRPr>
            </a:pPr>
          </a:p>
        </c:txPr>
        <c:crossAx val="1910379468"/>
      </c:catAx>
      <c:valAx>
        <c:axId val="1910379468"/>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91719499"/>
      </c:valAx>
    </c:plotArea>
    <c:legend>
      <c:legendPos val="r"/>
      <c:overlay val="0"/>
      <c:txPr>
        <a:bodyPr/>
        <a:lstStyle/>
        <a:p>
          <a:pPr lvl="0">
            <a:defRPr b="0">
              <a:solidFill>
                <a:srgbClr val="1A1A1A"/>
              </a:solidFill>
              <a:latin typeface="+mn-lt"/>
            </a:defRPr>
          </a:pPr>
        </a:p>
      </c:txPr>
    </c:legend>
    <c:plotVisOnly val="1"/>
  </c:chart>
  <c:spPr>
    <a:solidFill>
      <a:srgbClr val="FFFFFF">
        <a:alpha val="0"/>
      </a:srgbClr>
    </a:solidFill>
  </c:spPr>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a:t>
            </a:r>
          </a:p>
        </c:rich>
      </c:tx>
      <c:overlay val="0"/>
    </c:title>
    <c:plotArea>
      <c:layout/>
      <c:lineChart>
        <c:varyColors val="0"/>
        <c:ser>
          <c:idx val="0"/>
          <c:order val="0"/>
          <c:tx>
            <c:v>Utility</c:v>
          </c:tx>
          <c:spPr>
            <a:ln cmpd="sng">
              <a:solidFill>
                <a:srgbClr val="4F81BD"/>
              </a:solidFill>
            </a:ln>
          </c:spPr>
          <c:marker>
            <c:symbol val="none"/>
          </c:marker>
          <c:cat>
            <c:strRef>
              <c:f>'Utility Functions'!$H$27:$H$37</c:f>
            </c:strRef>
          </c:cat>
          <c:val>
            <c:numRef>
              <c:f>'Utility Functions'!$I$27:$I$37</c:f>
              <c:numCache/>
            </c:numRef>
          </c:val>
          <c:smooth val="0"/>
        </c:ser>
        <c:axId val="99935565"/>
        <c:axId val="1101048513"/>
      </c:lineChart>
      <c:catAx>
        <c:axId val="99935565"/>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101048513"/>
      </c:catAx>
      <c:valAx>
        <c:axId val="1101048513"/>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99935565"/>
      </c:valAx>
    </c:plotArea>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2</a:t>
            </a:r>
          </a:p>
        </c:rich>
      </c:tx>
      <c:overlay val="0"/>
    </c:title>
    <c:plotArea>
      <c:layout/>
      <c:lineChart>
        <c:varyColors val="0"/>
        <c:ser>
          <c:idx val="0"/>
          <c:order val="0"/>
          <c:tx>
            <c:v>Utility</c:v>
          </c:tx>
          <c:spPr>
            <a:ln cmpd="sng">
              <a:solidFill>
                <a:srgbClr val="4F81BD"/>
              </a:solidFill>
            </a:ln>
          </c:spPr>
          <c:marker>
            <c:symbol val="none"/>
          </c:marker>
          <c:cat>
            <c:strRef>
              <c:f>'Utility Functions'!$H$45:$H$55</c:f>
            </c:strRef>
          </c:cat>
          <c:val>
            <c:numRef>
              <c:f>'Utility Functions'!$I$45:$I$55</c:f>
              <c:numCache/>
            </c:numRef>
          </c:val>
          <c:smooth val="0"/>
        </c:ser>
        <c:axId val="743317390"/>
        <c:axId val="1141681155"/>
      </c:lineChart>
      <c:catAx>
        <c:axId val="743317390"/>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141681155"/>
      </c:catAx>
      <c:valAx>
        <c:axId val="1141681155"/>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743317390"/>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3</a:t>
            </a:r>
          </a:p>
        </c:rich>
      </c:tx>
      <c:overlay val="0"/>
    </c:title>
    <c:plotArea>
      <c:layout/>
      <c:lineChart>
        <c:varyColors val="0"/>
        <c:ser>
          <c:idx val="0"/>
          <c:order val="0"/>
          <c:tx>
            <c:v>Utility</c:v>
          </c:tx>
          <c:spPr>
            <a:ln cmpd="sng">
              <a:solidFill>
                <a:srgbClr val="4F81BD"/>
              </a:solidFill>
            </a:ln>
          </c:spPr>
          <c:marker>
            <c:symbol val="none"/>
          </c:marker>
          <c:cat>
            <c:strRef>
              <c:f>'Utility Functions'!$H$63:$H$73</c:f>
            </c:strRef>
          </c:cat>
          <c:val>
            <c:numRef>
              <c:f>'Utility Functions'!$I$63:$I$73</c:f>
              <c:numCache/>
            </c:numRef>
          </c:val>
          <c:smooth val="0"/>
        </c:ser>
        <c:axId val="802285167"/>
        <c:axId val="1587864097"/>
      </c:lineChart>
      <c:catAx>
        <c:axId val="802285167"/>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587864097"/>
      </c:catAx>
      <c:valAx>
        <c:axId val="1587864097"/>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802285167"/>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4</a:t>
            </a:r>
          </a:p>
        </c:rich>
      </c:tx>
      <c:overlay val="0"/>
    </c:title>
    <c:plotArea>
      <c:layout/>
      <c:lineChart>
        <c:varyColors val="0"/>
        <c:ser>
          <c:idx val="0"/>
          <c:order val="0"/>
          <c:tx>
            <c:v>Utility</c:v>
          </c:tx>
          <c:spPr>
            <a:ln cmpd="sng">
              <a:solidFill>
                <a:srgbClr val="4F81BD"/>
              </a:solidFill>
            </a:ln>
          </c:spPr>
          <c:marker>
            <c:symbol val="none"/>
          </c:marker>
          <c:cat>
            <c:strRef>
              <c:f>'Utility Functions'!$H$81:$H$91</c:f>
            </c:strRef>
          </c:cat>
          <c:val>
            <c:numRef>
              <c:f>'Utility Functions'!$I$81:$I$91</c:f>
              <c:numCache/>
            </c:numRef>
          </c:val>
          <c:smooth val="0"/>
        </c:ser>
        <c:axId val="1430771635"/>
        <c:axId val="1265437408"/>
      </c:lineChart>
      <c:catAx>
        <c:axId val="1430771635"/>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265437408"/>
      </c:catAx>
      <c:valAx>
        <c:axId val="1265437408"/>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430771635"/>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5</a:t>
            </a:r>
          </a:p>
        </c:rich>
      </c:tx>
      <c:overlay val="0"/>
    </c:title>
    <c:plotArea>
      <c:layout/>
      <c:lineChart>
        <c:varyColors val="0"/>
        <c:ser>
          <c:idx val="0"/>
          <c:order val="0"/>
          <c:tx>
            <c:v>Utility</c:v>
          </c:tx>
          <c:spPr>
            <a:ln cmpd="sng">
              <a:solidFill>
                <a:srgbClr val="4F81BD"/>
              </a:solidFill>
            </a:ln>
          </c:spPr>
          <c:marker>
            <c:symbol val="none"/>
          </c:marker>
          <c:cat>
            <c:strRef>
              <c:f>'Utility Functions'!$H$99:$H$109</c:f>
            </c:strRef>
          </c:cat>
          <c:val>
            <c:numRef>
              <c:f>'Utility Functions'!$I$99:$I$109</c:f>
              <c:numCache/>
            </c:numRef>
          </c:val>
          <c:smooth val="0"/>
        </c:ser>
        <c:axId val="1978734504"/>
        <c:axId val="835402966"/>
      </c:lineChart>
      <c:catAx>
        <c:axId val="1978734504"/>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835402966"/>
      </c:catAx>
      <c:valAx>
        <c:axId val="835402966"/>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978734504"/>
      </c:valAx>
    </c:plotArea>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6</a:t>
            </a:r>
          </a:p>
        </c:rich>
      </c:tx>
      <c:overlay val="0"/>
    </c:title>
    <c:plotArea>
      <c:layout/>
      <c:lineChart>
        <c:varyColors val="0"/>
        <c:ser>
          <c:idx val="0"/>
          <c:order val="0"/>
          <c:tx>
            <c:v>Utility</c:v>
          </c:tx>
          <c:spPr>
            <a:ln cmpd="sng">
              <a:solidFill>
                <a:srgbClr val="4F81BD"/>
              </a:solidFill>
            </a:ln>
          </c:spPr>
          <c:marker>
            <c:symbol val="none"/>
          </c:marker>
          <c:cat>
            <c:strRef>
              <c:f>'Utility Functions'!$H$117:$H$127</c:f>
            </c:strRef>
          </c:cat>
          <c:val>
            <c:numRef>
              <c:f>'Utility Functions'!$I$117:$I$127</c:f>
              <c:numCache/>
            </c:numRef>
          </c:val>
          <c:smooth val="0"/>
        </c:ser>
        <c:axId val="1533374471"/>
        <c:axId val="825300707"/>
      </c:lineChart>
      <c:catAx>
        <c:axId val="1533374471"/>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825300707"/>
      </c:catAx>
      <c:valAx>
        <c:axId val="825300707"/>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533374471"/>
      </c:valAx>
    </c:plotArea>
    <c:plotVisOnly val="1"/>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7</a:t>
            </a:r>
          </a:p>
        </c:rich>
      </c:tx>
      <c:overlay val="0"/>
    </c:title>
    <c:plotArea>
      <c:layout/>
      <c:lineChart>
        <c:varyColors val="0"/>
        <c:ser>
          <c:idx val="0"/>
          <c:order val="0"/>
          <c:tx>
            <c:v>Utility</c:v>
          </c:tx>
          <c:spPr>
            <a:ln cmpd="sng">
              <a:solidFill>
                <a:srgbClr val="4F81BD"/>
              </a:solidFill>
            </a:ln>
          </c:spPr>
          <c:marker>
            <c:symbol val="none"/>
          </c:marker>
          <c:cat>
            <c:strRef>
              <c:f>'Utility Functions'!$H$135:$H$145</c:f>
            </c:strRef>
          </c:cat>
          <c:val>
            <c:numRef>
              <c:f>'Utility Functions'!$I$135:$I$145</c:f>
              <c:numCache/>
            </c:numRef>
          </c:val>
          <c:smooth val="0"/>
        </c:ser>
        <c:axId val="1423270427"/>
        <c:axId val="1687591588"/>
      </c:lineChart>
      <c:catAx>
        <c:axId val="1423270427"/>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687591588"/>
      </c:catAx>
      <c:valAx>
        <c:axId val="1687591588"/>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423270427"/>
      </c:valAx>
    </c:plotArea>
    <c:plotVisOnly val="1"/>
  </c:chart>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8</a:t>
            </a:r>
          </a:p>
        </c:rich>
      </c:tx>
      <c:overlay val="0"/>
    </c:title>
    <c:plotArea>
      <c:layout/>
      <c:lineChart>
        <c:varyColors val="0"/>
        <c:ser>
          <c:idx val="0"/>
          <c:order val="0"/>
          <c:tx>
            <c:v>Utility</c:v>
          </c:tx>
          <c:spPr>
            <a:ln cmpd="sng">
              <a:solidFill>
                <a:srgbClr val="4F81BD"/>
              </a:solidFill>
            </a:ln>
          </c:spPr>
          <c:marker>
            <c:symbol val="none"/>
          </c:marker>
          <c:cat>
            <c:strRef>
              <c:f>'Utility Functions'!$H$153:$H$163</c:f>
            </c:strRef>
          </c:cat>
          <c:val>
            <c:numRef>
              <c:f>'Utility Functions'!$I$153:$I$163</c:f>
              <c:numCache/>
            </c:numRef>
          </c:val>
          <c:smooth val="0"/>
        </c:ser>
        <c:axId val="1338863531"/>
        <c:axId val="1337527456"/>
      </c:lineChart>
      <c:catAx>
        <c:axId val="1338863531"/>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337527456"/>
      </c:catAx>
      <c:valAx>
        <c:axId val="1337527456"/>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338863531"/>
      </c:valAx>
    </c:plotArea>
    <c:plotVisOnly val="1"/>
  </c:chart>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9</a:t>
            </a:r>
          </a:p>
        </c:rich>
      </c:tx>
      <c:overlay val="0"/>
    </c:title>
    <c:plotArea>
      <c:layout/>
      <c:lineChart>
        <c:varyColors val="0"/>
        <c:ser>
          <c:idx val="0"/>
          <c:order val="0"/>
          <c:tx>
            <c:v>Utility</c:v>
          </c:tx>
          <c:spPr>
            <a:ln cmpd="sng">
              <a:solidFill>
                <a:srgbClr val="4F81BD"/>
              </a:solidFill>
            </a:ln>
          </c:spPr>
          <c:marker>
            <c:symbol val="none"/>
          </c:marker>
          <c:cat>
            <c:strRef>
              <c:f>'Utility Functions'!$H$171:$H$181</c:f>
            </c:strRef>
          </c:cat>
          <c:val>
            <c:numRef>
              <c:f>'Utility Functions'!$I$171:$I$181</c:f>
              <c:numCache/>
            </c:numRef>
          </c:val>
          <c:smooth val="0"/>
        </c:ser>
        <c:axId val="1491927093"/>
        <c:axId val="1759187967"/>
      </c:lineChart>
      <c:catAx>
        <c:axId val="1491927093"/>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759187967"/>
      </c:catAx>
      <c:valAx>
        <c:axId val="1759187967"/>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491927093"/>
      </c:valAx>
    </c:plotArea>
    <c:plotVisOnly val="1"/>
  </c:chart>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10</a:t>
            </a:r>
          </a:p>
        </c:rich>
      </c:tx>
      <c:overlay val="0"/>
    </c:title>
    <c:plotArea>
      <c:layout/>
      <c:lineChart>
        <c:varyColors val="0"/>
        <c:ser>
          <c:idx val="0"/>
          <c:order val="0"/>
          <c:tx>
            <c:v>Utility</c:v>
          </c:tx>
          <c:spPr>
            <a:ln cmpd="sng">
              <a:solidFill>
                <a:srgbClr val="4F81BD"/>
              </a:solidFill>
            </a:ln>
          </c:spPr>
          <c:marker>
            <c:symbol val="none"/>
          </c:marker>
          <c:cat>
            <c:strRef>
              <c:f>'Utility Functions'!$H$189:$H$199</c:f>
            </c:strRef>
          </c:cat>
          <c:val>
            <c:numRef>
              <c:f>'Utility Functions'!$I$189:$I$199</c:f>
              <c:numCache/>
            </c:numRef>
          </c:val>
          <c:smooth val="0"/>
        </c:ser>
        <c:axId val="529221665"/>
        <c:axId val="716910995"/>
      </c:lineChart>
      <c:catAx>
        <c:axId val="529221665"/>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716910995"/>
      </c:catAx>
      <c:valAx>
        <c:axId val="716910995"/>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529221665"/>
      </c:valAx>
    </c:plotArea>
    <c:plotVisOnly val="1"/>
  </c:chart>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11</a:t>
            </a:r>
          </a:p>
        </c:rich>
      </c:tx>
      <c:overlay val="0"/>
    </c:title>
    <c:plotArea>
      <c:layout/>
      <c:lineChart>
        <c:varyColors val="0"/>
        <c:ser>
          <c:idx val="0"/>
          <c:order val="0"/>
          <c:tx>
            <c:v>Utility</c:v>
          </c:tx>
          <c:spPr>
            <a:ln cmpd="sng">
              <a:solidFill>
                <a:srgbClr val="4F81BD"/>
              </a:solidFill>
            </a:ln>
          </c:spPr>
          <c:marker>
            <c:symbol val="none"/>
          </c:marker>
          <c:cat>
            <c:strRef>
              <c:f>'Utility Functions'!$H$207:$H$217</c:f>
            </c:strRef>
          </c:cat>
          <c:val>
            <c:numRef>
              <c:f>'Utility Functions'!$I$207:$I$217</c:f>
              <c:numCache/>
            </c:numRef>
          </c:val>
          <c:smooth val="0"/>
        </c:ser>
        <c:axId val="1536309606"/>
        <c:axId val="1222052318"/>
      </c:lineChart>
      <c:catAx>
        <c:axId val="1536309606"/>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222052318"/>
      </c:catAx>
      <c:valAx>
        <c:axId val="1222052318"/>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536309606"/>
      </c:valAx>
    </c:plotArea>
    <c:plotVisOnly val="1"/>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12</a:t>
            </a:r>
          </a:p>
        </c:rich>
      </c:tx>
      <c:overlay val="0"/>
    </c:title>
    <c:plotArea>
      <c:layout/>
      <c:lineChart>
        <c:varyColors val="0"/>
        <c:ser>
          <c:idx val="0"/>
          <c:order val="0"/>
          <c:tx>
            <c:v>Utility</c:v>
          </c:tx>
          <c:spPr>
            <a:ln cmpd="sng">
              <a:solidFill>
                <a:srgbClr val="4F81BD"/>
              </a:solidFill>
            </a:ln>
          </c:spPr>
          <c:marker>
            <c:symbol val="none"/>
          </c:marker>
          <c:cat>
            <c:strRef>
              <c:f>'Utility Functions'!$H$225:$H$235</c:f>
            </c:strRef>
          </c:cat>
          <c:val>
            <c:numRef>
              <c:f>'Utility Functions'!$I$225:$I$235</c:f>
              <c:numCache/>
            </c:numRef>
          </c:val>
          <c:smooth val="0"/>
        </c:ser>
        <c:axId val="775850789"/>
        <c:axId val="522682704"/>
      </c:lineChart>
      <c:catAx>
        <c:axId val="775850789"/>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522682704"/>
      </c:catAx>
      <c:valAx>
        <c:axId val="522682704"/>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775850789"/>
      </c:valAx>
    </c:plotArea>
    <c:plotVisOnly val="1"/>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13</a:t>
            </a:r>
          </a:p>
        </c:rich>
      </c:tx>
      <c:overlay val="0"/>
    </c:title>
    <c:plotArea>
      <c:layout/>
      <c:lineChart>
        <c:varyColors val="0"/>
        <c:ser>
          <c:idx val="0"/>
          <c:order val="0"/>
          <c:tx>
            <c:v>Utility</c:v>
          </c:tx>
          <c:spPr>
            <a:ln cmpd="sng">
              <a:solidFill>
                <a:srgbClr val="4F81BD"/>
              </a:solidFill>
            </a:ln>
          </c:spPr>
          <c:marker>
            <c:symbol val="none"/>
          </c:marker>
          <c:cat>
            <c:strRef>
              <c:f>'Utility Functions'!$H$243:$H$253</c:f>
            </c:strRef>
          </c:cat>
          <c:val>
            <c:numRef>
              <c:f>'Utility Functions'!$I$243:$I$253</c:f>
              <c:numCache/>
            </c:numRef>
          </c:val>
          <c:smooth val="0"/>
        </c:ser>
        <c:axId val="1012360274"/>
        <c:axId val="522961874"/>
      </c:lineChart>
      <c:catAx>
        <c:axId val="1012360274"/>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522961874"/>
      </c:catAx>
      <c:valAx>
        <c:axId val="522961874"/>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012360274"/>
      </c:valAx>
    </c:plotArea>
    <c:plotVisOnly val="1"/>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14</a:t>
            </a:r>
          </a:p>
        </c:rich>
      </c:tx>
      <c:overlay val="0"/>
    </c:title>
    <c:plotArea>
      <c:layout/>
      <c:lineChart>
        <c:varyColors val="0"/>
        <c:ser>
          <c:idx val="0"/>
          <c:order val="0"/>
          <c:tx>
            <c:v>Utility</c:v>
          </c:tx>
          <c:spPr>
            <a:ln cmpd="sng">
              <a:solidFill>
                <a:srgbClr val="4F81BD"/>
              </a:solidFill>
            </a:ln>
          </c:spPr>
          <c:marker>
            <c:symbol val="none"/>
          </c:marker>
          <c:cat>
            <c:strRef>
              <c:f>'Utility Functions'!$H$261:$H$271</c:f>
            </c:strRef>
          </c:cat>
          <c:val>
            <c:numRef>
              <c:f>'Utility Functions'!$I$261:$I$271</c:f>
              <c:numCache/>
            </c:numRef>
          </c:val>
          <c:smooth val="0"/>
        </c:ser>
        <c:axId val="1917207482"/>
        <c:axId val="903079197"/>
      </c:lineChart>
      <c:catAx>
        <c:axId val="1917207482"/>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903079197"/>
      </c:catAx>
      <c:valAx>
        <c:axId val="903079197"/>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917207482"/>
      </c:valAx>
    </c:plotArea>
    <c:plotVisOnly val="1"/>
  </c:chart>
</c:chartSpace>
</file>

<file path=xl/charts/chart1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15</a:t>
            </a:r>
          </a:p>
        </c:rich>
      </c:tx>
      <c:overlay val="0"/>
    </c:title>
    <c:plotArea>
      <c:layout/>
      <c:lineChart>
        <c:varyColors val="0"/>
        <c:ser>
          <c:idx val="0"/>
          <c:order val="0"/>
          <c:tx>
            <c:v>Utility</c:v>
          </c:tx>
          <c:spPr>
            <a:ln cmpd="sng">
              <a:solidFill>
                <a:srgbClr val="4F81BD"/>
              </a:solidFill>
            </a:ln>
          </c:spPr>
          <c:marker>
            <c:symbol val="none"/>
          </c:marker>
          <c:cat>
            <c:strRef>
              <c:f>'Utility Functions'!$H$279:$H$289</c:f>
            </c:strRef>
          </c:cat>
          <c:val>
            <c:numRef>
              <c:f>'Utility Functions'!$I$279:$I$289</c:f>
              <c:numCache/>
            </c:numRef>
          </c:val>
          <c:smooth val="0"/>
        </c:ser>
        <c:axId val="1862169836"/>
        <c:axId val="968655537"/>
      </c:lineChart>
      <c:catAx>
        <c:axId val="1862169836"/>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968655537"/>
      </c:catAx>
      <c:valAx>
        <c:axId val="968655537"/>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862169836"/>
      </c:valAx>
    </c:plotArea>
    <c:plotVisOnly val="1"/>
  </c:chart>
</c:chartSpace>
</file>

<file path=xl/charts/chart1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16</a:t>
            </a:r>
          </a:p>
        </c:rich>
      </c:tx>
      <c:overlay val="0"/>
    </c:title>
    <c:plotArea>
      <c:layout/>
      <c:lineChart>
        <c:varyColors val="0"/>
        <c:ser>
          <c:idx val="0"/>
          <c:order val="0"/>
          <c:tx>
            <c:v>Utility</c:v>
          </c:tx>
          <c:spPr>
            <a:ln cmpd="sng">
              <a:solidFill>
                <a:srgbClr val="4F81BD"/>
              </a:solidFill>
            </a:ln>
          </c:spPr>
          <c:marker>
            <c:symbol val="none"/>
          </c:marker>
          <c:cat>
            <c:strRef>
              <c:f>'Utility Functions'!$H$297:$H$307</c:f>
            </c:strRef>
          </c:cat>
          <c:val>
            <c:numRef>
              <c:f>'Utility Functions'!$I$297:$I$307</c:f>
              <c:numCache/>
            </c:numRef>
          </c:val>
          <c:smooth val="0"/>
        </c:ser>
        <c:axId val="2012472760"/>
        <c:axId val="1168136827"/>
      </c:lineChart>
      <c:catAx>
        <c:axId val="2012472760"/>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168136827"/>
      </c:catAx>
      <c:valAx>
        <c:axId val="1168136827"/>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2012472760"/>
      </c:valAx>
    </c:plotArea>
    <c:plotVisOnly val="1"/>
  </c:chart>
</c:chartSpace>
</file>

<file path=xl/charts/chart1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17</a:t>
            </a:r>
          </a:p>
        </c:rich>
      </c:tx>
      <c:overlay val="0"/>
    </c:title>
    <c:plotArea>
      <c:layout/>
      <c:lineChart>
        <c:varyColors val="0"/>
        <c:ser>
          <c:idx val="0"/>
          <c:order val="0"/>
          <c:tx>
            <c:v>Utility</c:v>
          </c:tx>
          <c:spPr>
            <a:ln cmpd="sng">
              <a:solidFill>
                <a:srgbClr val="4F81BD"/>
              </a:solidFill>
            </a:ln>
          </c:spPr>
          <c:marker>
            <c:symbol val="none"/>
          </c:marker>
          <c:cat>
            <c:strRef>
              <c:f>'Utility Functions'!$H$315:$H$325</c:f>
            </c:strRef>
          </c:cat>
          <c:val>
            <c:numRef>
              <c:f>'Utility Functions'!$I$315:$I$325</c:f>
              <c:numCache/>
            </c:numRef>
          </c:val>
          <c:smooth val="0"/>
        </c:ser>
        <c:axId val="1619038228"/>
        <c:axId val="348407039"/>
      </c:lineChart>
      <c:catAx>
        <c:axId val="1619038228"/>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348407039"/>
      </c:catAx>
      <c:valAx>
        <c:axId val="348407039"/>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619038228"/>
      </c:valAx>
    </c:plotArea>
    <c:plotVisOnly val="1"/>
  </c:chart>
</c:chartSpace>
</file>

<file path=xl/charts/chart1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18</a:t>
            </a:r>
          </a:p>
        </c:rich>
      </c:tx>
      <c:overlay val="0"/>
    </c:title>
    <c:plotArea>
      <c:layout/>
      <c:lineChart>
        <c:varyColors val="0"/>
        <c:ser>
          <c:idx val="0"/>
          <c:order val="0"/>
          <c:tx>
            <c:v>Utility</c:v>
          </c:tx>
          <c:spPr>
            <a:ln cmpd="sng">
              <a:solidFill>
                <a:srgbClr val="4F81BD"/>
              </a:solidFill>
            </a:ln>
          </c:spPr>
          <c:marker>
            <c:symbol val="none"/>
          </c:marker>
          <c:cat>
            <c:strRef>
              <c:f>'Utility Functions'!$H$333:$H$343</c:f>
            </c:strRef>
          </c:cat>
          <c:val>
            <c:numRef>
              <c:f>'Utility Functions'!$I$333:$I$343</c:f>
              <c:numCache/>
            </c:numRef>
          </c:val>
          <c:smooth val="0"/>
        </c:ser>
        <c:axId val="1370809271"/>
        <c:axId val="1678659823"/>
      </c:lineChart>
      <c:catAx>
        <c:axId val="1370809271"/>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678659823"/>
      </c:catAx>
      <c:valAx>
        <c:axId val="1678659823"/>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370809271"/>
      </c:valAx>
    </c:plotArea>
    <c:plotVisOnly val="1"/>
  </c:chart>
</c:chartSpace>
</file>

<file path=xl/charts/chart2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19</a:t>
            </a:r>
          </a:p>
        </c:rich>
      </c:tx>
      <c:overlay val="0"/>
    </c:title>
    <c:plotArea>
      <c:layout/>
      <c:lineChart>
        <c:varyColors val="0"/>
        <c:ser>
          <c:idx val="0"/>
          <c:order val="0"/>
          <c:tx>
            <c:v>Utility</c:v>
          </c:tx>
          <c:spPr>
            <a:ln cmpd="sng">
              <a:solidFill>
                <a:srgbClr val="4F81BD"/>
              </a:solidFill>
            </a:ln>
          </c:spPr>
          <c:marker>
            <c:symbol val="none"/>
          </c:marker>
          <c:cat>
            <c:strRef>
              <c:f>'Utility Functions'!$H$351:$H$361</c:f>
            </c:strRef>
          </c:cat>
          <c:val>
            <c:numRef>
              <c:f>'Utility Functions'!$I$351:$I$361</c:f>
              <c:numCache/>
            </c:numRef>
          </c:val>
          <c:smooth val="0"/>
        </c:ser>
        <c:axId val="1837075469"/>
        <c:axId val="1478545537"/>
      </c:lineChart>
      <c:catAx>
        <c:axId val="1837075469"/>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478545537"/>
      </c:catAx>
      <c:valAx>
        <c:axId val="1478545537"/>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1837075469"/>
      </c:valAx>
    </c:plotArea>
    <c:plotVisOnly val="1"/>
  </c:chart>
</c:chartSpace>
</file>

<file path=xl/charts/chart2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Criteria 20</a:t>
            </a:r>
          </a:p>
        </c:rich>
      </c:tx>
      <c:overlay val="0"/>
    </c:title>
    <c:plotArea>
      <c:layout/>
      <c:lineChart>
        <c:varyColors val="0"/>
        <c:ser>
          <c:idx val="0"/>
          <c:order val="0"/>
          <c:tx>
            <c:v>Utility</c:v>
          </c:tx>
          <c:spPr>
            <a:ln cmpd="sng">
              <a:solidFill>
                <a:srgbClr val="4F81BD"/>
              </a:solidFill>
            </a:ln>
          </c:spPr>
          <c:marker>
            <c:symbol val="none"/>
          </c:marker>
          <c:cat>
            <c:strRef>
              <c:f>'Utility Functions'!$H$369:$H$379</c:f>
            </c:strRef>
          </c:cat>
          <c:val>
            <c:numRef>
              <c:f>'Utility Functions'!$I$369:$I$379</c:f>
              <c:numCache/>
            </c:numRef>
          </c:val>
          <c:smooth val="0"/>
        </c:ser>
        <c:axId val="416845175"/>
        <c:axId val="176213211"/>
      </c:lineChart>
      <c:catAx>
        <c:axId val="416845175"/>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Raw Score</a:t>
                </a:r>
              </a:p>
            </c:rich>
          </c:tx>
          <c:overlay val="0"/>
        </c:title>
        <c:numFmt formatCode="General" sourceLinked="1"/>
        <c:majorTickMark val="none"/>
        <c:minorTickMark val="none"/>
        <c:spPr/>
        <c:txPr>
          <a:bodyPr/>
          <a:lstStyle/>
          <a:p>
            <a:pPr lvl="0">
              <a:defRPr b="0" i="0">
                <a:solidFill>
                  <a:srgbClr val="000000"/>
                </a:solidFill>
                <a:latin typeface="+mn-lt"/>
              </a:defRPr>
            </a:pPr>
          </a:p>
        </c:txPr>
        <c:crossAx val="176213211"/>
      </c:catAx>
      <c:valAx>
        <c:axId val="176213211"/>
        <c:scaling>
          <c:orientation val="minMax"/>
          <c:max val="1.0"/>
        </c:scaling>
        <c:delete val="0"/>
        <c:axPos val="l"/>
        <c:majorGridlines>
          <c:spPr>
            <a:ln>
              <a:solidFill>
                <a:srgbClr val="B7B7B7"/>
              </a:solidFill>
            </a:ln>
          </c:spPr>
        </c:majorGridlines>
        <c:title>
          <c:tx>
            <c:rich>
              <a:bodyPr/>
              <a:lstStyle/>
              <a:p>
                <a:pPr lvl="0">
                  <a:defRPr b="0" i="0">
                    <a:solidFill>
                      <a:srgbClr val="000000"/>
                    </a:solidFill>
                    <a:latin typeface="+mn-lt"/>
                  </a:defRPr>
                </a:pPr>
                <a:r>
                  <a:rPr b="0" i="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i="0">
                <a:solidFill>
                  <a:srgbClr val="000000"/>
                </a:solidFill>
                <a:latin typeface="+mn-lt"/>
              </a:defRPr>
            </a:pPr>
          </a:p>
        </c:txPr>
        <c:crossAx val="416845175"/>
      </c:valAx>
    </c:plotArea>
    <c:plotVisOnly val="1"/>
  </c:chart>
</c:chartSpac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0" Type="http://schemas.openxmlformats.org/officeDocument/2006/relationships/chart" Target="../charts/chart21.xml"/><Relationship Id="rId11" Type="http://schemas.openxmlformats.org/officeDocument/2006/relationships/chart" Target="../charts/chart12.xml"/><Relationship Id="rId10" Type="http://schemas.openxmlformats.org/officeDocument/2006/relationships/chart" Target="../charts/chart11.xml"/><Relationship Id="rId13" Type="http://schemas.openxmlformats.org/officeDocument/2006/relationships/chart" Target="../charts/chart14.xml"/><Relationship Id="rId12" Type="http://schemas.openxmlformats.org/officeDocument/2006/relationships/chart" Target="../charts/chart13.xml"/><Relationship Id="rId1" Type="http://schemas.openxmlformats.org/officeDocument/2006/relationships/chart" Target="../charts/chart2.xml"/><Relationship Id="rId2" Type="http://schemas.openxmlformats.org/officeDocument/2006/relationships/chart" Target="../charts/chart3.xml"/><Relationship Id="rId3" Type="http://schemas.openxmlformats.org/officeDocument/2006/relationships/chart" Target="../charts/chart4.xml"/><Relationship Id="rId4" Type="http://schemas.openxmlformats.org/officeDocument/2006/relationships/chart" Target="../charts/chart5.xml"/><Relationship Id="rId9" Type="http://schemas.openxmlformats.org/officeDocument/2006/relationships/chart" Target="../charts/chart10.xml"/><Relationship Id="rId15" Type="http://schemas.openxmlformats.org/officeDocument/2006/relationships/chart" Target="../charts/chart16.xml"/><Relationship Id="rId14" Type="http://schemas.openxmlformats.org/officeDocument/2006/relationships/chart" Target="../charts/chart15.xml"/><Relationship Id="rId17" Type="http://schemas.openxmlformats.org/officeDocument/2006/relationships/chart" Target="../charts/chart18.xml"/><Relationship Id="rId16" Type="http://schemas.openxmlformats.org/officeDocument/2006/relationships/chart" Target="../charts/chart17.xml"/><Relationship Id="rId5" Type="http://schemas.openxmlformats.org/officeDocument/2006/relationships/chart" Target="../charts/chart6.xml"/><Relationship Id="rId19" Type="http://schemas.openxmlformats.org/officeDocument/2006/relationships/chart" Target="../charts/chart20.xml"/><Relationship Id="rId6" Type="http://schemas.openxmlformats.org/officeDocument/2006/relationships/chart" Target="../charts/chart7.xml"/><Relationship Id="rId18" Type="http://schemas.openxmlformats.org/officeDocument/2006/relationships/chart" Target="../charts/chart19.xml"/><Relationship Id="rId7" Type="http://schemas.openxmlformats.org/officeDocument/2006/relationships/chart" Target="../charts/chart8.xml"/><Relationship Id="rId8"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0</xdr:colOff>
      <xdr:row>22</xdr:row>
      <xdr:rowOff>19050</xdr:rowOff>
    </xdr:from>
    <xdr:ext cx="5715000" cy="3533775"/>
    <xdr:graphicFrame>
      <xdr:nvGraphicFramePr>
        <xdr:cNvPr id="1953458499" name="Chart 1"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180975</xdr:colOff>
      <xdr:row>21</xdr:row>
      <xdr:rowOff>0</xdr:rowOff>
    </xdr:from>
    <xdr:ext cx="3305175" cy="2895600"/>
    <xdr:graphicFrame>
      <xdr:nvGraphicFramePr>
        <xdr:cNvPr id="913382290" name="Chart 2"/>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180975</xdr:colOff>
      <xdr:row>38</xdr:row>
      <xdr:rowOff>190500</xdr:rowOff>
    </xdr:from>
    <xdr:ext cx="3305175" cy="2886075"/>
    <xdr:graphicFrame>
      <xdr:nvGraphicFramePr>
        <xdr:cNvPr id="1466114146" name="Chart 3"/>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0</xdr:col>
      <xdr:colOff>171450</xdr:colOff>
      <xdr:row>57</xdr:row>
      <xdr:rowOff>9525</xdr:rowOff>
    </xdr:from>
    <xdr:ext cx="3333750" cy="2895600"/>
    <xdr:graphicFrame>
      <xdr:nvGraphicFramePr>
        <xdr:cNvPr id="2023440341" name="Chart 4"/>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0</xdr:col>
      <xdr:colOff>180975</xdr:colOff>
      <xdr:row>75</xdr:row>
      <xdr:rowOff>0</xdr:rowOff>
    </xdr:from>
    <xdr:ext cx="3305175" cy="2895600"/>
    <xdr:graphicFrame>
      <xdr:nvGraphicFramePr>
        <xdr:cNvPr id="14978116" name="Chart 5"/>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0</xdr:col>
      <xdr:colOff>180975</xdr:colOff>
      <xdr:row>93</xdr:row>
      <xdr:rowOff>0</xdr:rowOff>
    </xdr:from>
    <xdr:ext cx="3305175" cy="2895600"/>
    <xdr:graphicFrame>
      <xdr:nvGraphicFramePr>
        <xdr:cNvPr id="1450947277" name="Chart 6"/>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0</xdr:col>
      <xdr:colOff>180975</xdr:colOff>
      <xdr:row>111</xdr:row>
      <xdr:rowOff>0</xdr:rowOff>
    </xdr:from>
    <xdr:ext cx="3305175" cy="2895600"/>
    <xdr:graphicFrame>
      <xdr:nvGraphicFramePr>
        <xdr:cNvPr id="151940119" name="Chart 7"/>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0</xdr:col>
      <xdr:colOff>180975</xdr:colOff>
      <xdr:row>129</xdr:row>
      <xdr:rowOff>0</xdr:rowOff>
    </xdr:from>
    <xdr:ext cx="3305175" cy="2895600"/>
    <xdr:graphicFrame>
      <xdr:nvGraphicFramePr>
        <xdr:cNvPr id="1326496909" name="Chart 8"/>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0</xdr:col>
      <xdr:colOff>180975</xdr:colOff>
      <xdr:row>147</xdr:row>
      <xdr:rowOff>0</xdr:rowOff>
    </xdr:from>
    <xdr:ext cx="3305175" cy="2895600"/>
    <xdr:graphicFrame>
      <xdr:nvGraphicFramePr>
        <xdr:cNvPr id="1803574926" name="Chart 9"/>
        <xdr:cNvGraphicFramePr/>
      </xdr:nvGraphicFramePr>
      <xdr:xfrm>
        <a:off x="0" y="0"/>
        <a:ext cx="0" cy="0"/>
      </xdr:xfrm>
      <a:graphic>
        <a:graphicData uri="http://schemas.openxmlformats.org/drawingml/2006/chart">
          <c:chart r:id="rId8"/>
        </a:graphicData>
      </a:graphic>
    </xdr:graphicFrame>
    <xdr:clientData fLocksWithSheet="0"/>
  </xdr:oneCellAnchor>
  <xdr:oneCellAnchor>
    <xdr:from>
      <xdr:col>0</xdr:col>
      <xdr:colOff>180975</xdr:colOff>
      <xdr:row>165</xdr:row>
      <xdr:rowOff>0</xdr:rowOff>
    </xdr:from>
    <xdr:ext cx="3305175" cy="2895600"/>
    <xdr:graphicFrame>
      <xdr:nvGraphicFramePr>
        <xdr:cNvPr id="170457435" name="Chart 10"/>
        <xdr:cNvGraphicFramePr/>
      </xdr:nvGraphicFramePr>
      <xdr:xfrm>
        <a:off x="0" y="0"/>
        <a:ext cx="0" cy="0"/>
      </xdr:xfrm>
      <a:graphic>
        <a:graphicData uri="http://schemas.openxmlformats.org/drawingml/2006/chart">
          <c:chart r:id="rId9"/>
        </a:graphicData>
      </a:graphic>
    </xdr:graphicFrame>
    <xdr:clientData fLocksWithSheet="0"/>
  </xdr:oneCellAnchor>
  <xdr:oneCellAnchor>
    <xdr:from>
      <xdr:col>0</xdr:col>
      <xdr:colOff>180975</xdr:colOff>
      <xdr:row>183</xdr:row>
      <xdr:rowOff>0</xdr:rowOff>
    </xdr:from>
    <xdr:ext cx="3305175" cy="2895600"/>
    <xdr:graphicFrame>
      <xdr:nvGraphicFramePr>
        <xdr:cNvPr id="1912540087" name="Chart 11"/>
        <xdr:cNvGraphicFramePr/>
      </xdr:nvGraphicFramePr>
      <xdr:xfrm>
        <a:off x="0" y="0"/>
        <a:ext cx="0" cy="0"/>
      </xdr:xfrm>
      <a:graphic>
        <a:graphicData uri="http://schemas.openxmlformats.org/drawingml/2006/chart">
          <c:chart r:id="rId10"/>
        </a:graphicData>
      </a:graphic>
    </xdr:graphicFrame>
    <xdr:clientData fLocksWithSheet="0"/>
  </xdr:oneCellAnchor>
  <xdr:oneCellAnchor>
    <xdr:from>
      <xdr:col>0</xdr:col>
      <xdr:colOff>180975</xdr:colOff>
      <xdr:row>201</xdr:row>
      <xdr:rowOff>0</xdr:rowOff>
    </xdr:from>
    <xdr:ext cx="3305175" cy="2895600"/>
    <xdr:graphicFrame>
      <xdr:nvGraphicFramePr>
        <xdr:cNvPr id="1214850373" name="Chart 12"/>
        <xdr:cNvGraphicFramePr/>
      </xdr:nvGraphicFramePr>
      <xdr:xfrm>
        <a:off x="0" y="0"/>
        <a:ext cx="0" cy="0"/>
      </xdr:xfrm>
      <a:graphic>
        <a:graphicData uri="http://schemas.openxmlformats.org/drawingml/2006/chart">
          <c:chart r:id="rId11"/>
        </a:graphicData>
      </a:graphic>
    </xdr:graphicFrame>
    <xdr:clientData fLocksWithSheet="0"/>
  </xdr:oneCellAnchor>
  <xdr:oneCellAnchor>
    <xdr:from>
      <xdr:col>0</xdr:col>
      <xdr:colOff>180975</xdr:colOff>
      <xdr:row>219</xdr:row>
      <xdr:rowOff>0</xdr:rowOff>
    </xdr:from>
    <xdr:ext cx="3305175" cy="2895600"/>
    <xdr:graphicFrame>
      <xdr:nvGraphicFramePr>
        <xdr:cNvPr id="1267993978" name="Chart 13"/>
        <xdr:cNvGraphicFramePr/>
      </xdr:nvGraphicFramePr>
      <xdr:xfrm>
        <a:off x="0" y="0"/>
        <a:ext cx="0" cy="0"/>
      </xdr:xfrm>
      <a:graphic>
        <a:graphicData uri="http://schemas.openxmlformats.org/drawingml/2006/chart">
          <c:chart r:id="rId12"/>
        </a:graphicData>
      </a:graphic>
    </xdr:graphicFrame>
    <xdr:clientData fLocksWithSheet="0"/>
  </xdr:oneCellAnchor>
  <xdr:oneCellAnchor>
    <xdr:from>
      <xdr:col>0</xdr:col>
      <xdr:colOff>180975</xdr:colOff>
      <xdr:row>237</xdr:row>
      <xdr:rowOff>0</xdr:rowOff>
    </xdr:from>
    <xdr:ext cx="3305175" cy="2895600"/>
    <xdr:graphicFrame>
      <xdr:nvGraphicFramePr>
        <xdr:cNvPr id="1732035492" name="Chart 14"/>
        <xdr:cNvGraphicFramePr/>
      </xdr:nvGraphicFramePr>
      <xdr:xfrm>
        <a:off x="0" y="0"/>
        <a:ext cx="0" cy="0"/>
      </xdr:xfrm>
      <a:graphic>
        <a:graphicData uri="http://schemas.openxmlformats.org/drawingml/2006/chart">
          <c:chart r:id="rId13"/>
        </a:graphicData>
      </a:graphic>
    </xdr:graphicFrame>
    <xdr:clientData fLocksWithSheet="0"/>
  </xdr:oneCellAnchor>
  <xdr:oneCellAnchor>
    <xdr:from>
      <xdr:col>0</xdr:col>
      <xdr:colOff>180975</xdr:colOff>
      <xdr:row>255</xdr:row>
      <xdr:rowOff>0</xdr:rowOff>
    </xdr:from>
    <xdr:ext cx="3305175" cy="2895600"/>
    <xdr:graphicFrame>
      <xdr:nvGraphicFramePr>
        <xdr:cNvPr id="1736189660" name="Chart 15"/>
        <xdr:cNvGraphicFramePr/>
      </xdr:nvGraphicFramePr>
      <xdr:xfrm>
        <a:off x="0" y="0"/>
        <a:ext cx="0" cy="0"/>
      </xdr:xfrm>
      <a:graphic>
        <a:graphicData uri="http://schemas.openxmlformats.org/drawingml/2006/chart">
          <c:chart r:id="rId14"/>
        </a:graphicData>
      </a:graphic>
    </xdr:graphicFrame>
    <xdr:clientData fLocksWithSheet="0"/>
  </xdr:oneCellAnchor>
  <xdr:oneCellAnchor>
    <xdr:from>
      <xdr:col>0</xdr:col>
      <xdr:colOff>180975</xdr:colOff>
      <xdr:row>273</xdr:row>
      <xdr:rowOff>0</xdr:rowOff>
    </xdr:from>
    <xdr:ext cx="3305175" cy="2895600"/>
    <xdr:graphicFrame>
      <xdr:nvGraphicFramePr>
        <xdr:cNvPr id="259133101" name="Chart 16"/>
        <xdr:cNvGraphicFramePr/>
      </xdr:nvGraphicFramePr>
      <xdr:xfrm>
        <a:off x="0" y="0"/>
        <a:ext cx="0" cy="0"/>
      </xdr:xfrm>
      <a:graphic>
        <a:graphicData uri="http://schemas.openxmlformats.org/drawingml/2006/chart">
          <c:chart r:id="rId15"/>
        </a:graphicData>
      </a:graphic>
    </xdr:graphicFrame>
    <xdr:clientData fLocksWithSheet="0"/>
  </xdr:oneCellAnchor>
  <xdr:oneCellAnchor>
    <xdr:from>
      <xdr:col>0</xdr:col>
      <xdr:colOff>180975</xdr:colOff>
      <xdr:row>291</xdr:row>
      <xdr:rowOff>0</xdr:rowOff>
    </xdr:from>
    <xdr:ext cx="3305175" cy="2895600"/>
    <xdr:graphicFrame>
      <xdr:nvGraphicFramePr>
        <xdr:cNvPr id="759597792" name="Chart 17"/>
        <xdr:cNvGraphicFramePr/>
      </xdr:nvGraphicFramePr>
      <xdr:xfrm>
        <a:off x="0" y="0"/>
        <a:ext cx="0" cy="0"/>
      </xdr:xfrm>
      <a:graphic>
        <a:graphicData uri="http://schemas.openxmlformats.org/drawingml/2006/chart">
          <c:chart r:id="rId16"/>
        </a:graphicData>
      </a:graphic>
    </xdr:graphicFrame>
    <xdr:clientData fLocksWithSheet="0"/>
  </xdr:oneCellAnchor>
  <xdr:oneCellAnchor>
    <xdr:from>
      <xdr:col>0</xdr:col>
      <xdr:colOff>180975</xdr:colOff>
      <xdr:row>309</xdr:row>
      <xdr:rowOff>0</xdr:rowOff>
    </xdr:from>
    <xdr:ext cx="3305175" cy="2895600"/>
    <xdr:graphicFrame>
      <xdr:nvGraphicFramePr>
        <xdr:cNvPr id="328648189" name="Chart 18"/>
        <xdr:cNvGraphicFramePr/>
      </xdr:nvGraphicFramePr>
      <xdr:xfrm>
        <a:off x="0" y="0"/>
        <a:ext cx="0" cy="0"/>
      </xdr:xfrm>
      <a:graphic>
        <a:graphicData uri="http://schemas.openxmlformats.org/drawingml/2006/chart">
          <c:chart r:id="rId17"/>
        </a:graphicData>
      </a:graphic>
    </xdr:graphicFrame>
    <xdr:clientData fLocksWithSheet="0"/>
  </xdr:oneCellAnchor>
  <xdr:oneCellAnchor>
    <xdr:from>
      <xdr:col>0</xdr:col>
      <xdr:colOff>180975</xdr:colOff>
      <xdr:row>327</xdr:row>
      <xdr:rowOff>0</xdr:rowOff>
    </xdr:from>
    <xdr:ext cx="3305175" cy="2895600"/>
    <xdr:graphicFrame>
      <xdr:nvGraphicFramePr>
        <xdr:cNvPr id="1068635849" name="Chart 19"/>
        <xdr:cNvGraphicFramePr/>
      </xdr:nvGraphicFramePr>
      <xdr:xfrm>
        <a:off x="0" y="0"/>
        <a:ext cx="0" cy="0"/>
      </xdr:xfrm>
      <a:graphic>
        <a:graphicData uri="http://schemas.openxmlformats.org/drawingml/2006/chart">
          <c:chart r:id="rId18"/>
        </a:graphicData>
      </a:graphic>
    </xdr:graphicFrame>
    <xdr:clientData fLocksWithSheet="0"/>
  </xdr:oneCellAnchor>
  <xdr:oneCellAnchor>
    <xdr:from>
      <xdr:col>0</xdr:col>
      <xdr:colOff>180975</xdr:colOff>
      <xdr:row>345</xdr:row>
      <xdr:rowOff>0</xdr:rowOff>
    </xdr:from>
    <xdr:ext cx="3305175" cy="2895600"/>
    <xdr:graphicFrame>
      <xdr:nvGraphicFramePr>
        <xdr:cNvPr id="1840417676" name="Chart 20"/>
        <xdr:cNvGraphicFramePr/>
      </xdr:nvGraphicFramePr>
      <xdr:xfrm>
        <a:off x="0" y="0"/>
        <a:ext cx="0" cy="0"/>
      </xdr:xfrm>
      <a:graphic>
        <a:graphicData uri="http://schemas.openxmlformats.org/drawingml/2006/chart">
          <c:chart r:id="rId19"/>
        </a:graphicData>
      </a:graphic>
    </xdr:graphicFrame>
    <xdr:clientData fLocksWithSheet="0"/>
  </xdr:oneCellAnchor>
  <xdr:oneCellAnchor>
    <xdr:from>
      <xdr:col>0</xdr:col>
      <xdr:colOff>180975</xdr:colOff>
      <xdr:row>363</xdr:row>
      <xdr:rowOff>0</xdr:rowOff>
    </xdr:from>
    <xdr:ext cx="3305175" cy="2895600"/>
    <xdr:graphicFrame>
      <xdr:nvGraphicFramePr>
        <xdr:cNvPr id="1887534819" name="Chart 21"/>
        <xdr:cNvGraphicFramePr/>
      </xdr:nvGraphicFramePr>
      <xdr:xfrm>
        <a:off x="0" y="0"/>
        <a:ext cx="0" cy="0"/>
      </xdr:xfrm>
      <a:graphic>
        <a:graphicData uri="http://schemas.openxmlformats.org/drawingml/2006/chart">
          <c:chart r:id="rId20"/>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jeffreyellis.org/"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hyperlink" Target="http://jeffreyellis.org/" TargetMode="External"/><Relationship Id="rId2"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26" width="8.71"/>
  </cols>
  <sheetData>
    <row r="1" ht="14.25" customHeight="1"/>
    <row r="2" ht="14.25" customHeight="1">
      <c r="B2" s="1" t="s">
        <v>0</v>
      </c>
    </row>
    <row r="3" ht="14.25" customHeight="1">
      <c r="B3" s="2" t="s">
        <v>1</v>
      </c>
    </row>
    <row r="4" ht="14.25" customHeight="1">
      <c r="B4" s="3" t="s">
        <v>2</v>
      </c>
    </row>
    <row r="5" ht="14.25" customHeight="1">
      <c r="B5" s="4" t="s">
        <v>3</v>
      </c>
    </row>
    <row r="6" ht="14.25" customHeight="1"/>
    <row r="7" ht="15.0" customHeight="1">
      <c r="B7" s="5" t="s">
        <v>4</v>
      </c>
      <c r="C7" s="6"/>
      <c r="D7" s="6"/>
      <c r="E7" s="6"/>
      <c r="F7" s="6"/>
      <c r="G7" s="6"/>
      <c r="H7" s="6"/>
      <c r="I7" s="6"/>
      <c r="J7" s="6"/>
      <c r="K7" s="6"/>
      <c r="L7" s="7"/>
      <c r="N7" s="8"/>
      <c r="O7" s="8"/>
      <c r="P7" s="8"/>
      <c r="Q7" s="8"/>
      <c r="R7" s="8"/>
      <c r="S7" s="8"/>
      <c r="T7" s="8"/>
      <c r="U7" s="8"/>
      <c r="V7" s="8"/>
    </row>
    <row r="8" ht="14.25" customHeight="1">
      <c r="B8" s="9"/>
      <c r="L8" s="10"/>
      <c r="N8" s="8"/>
      <c r="O8" s="8"/>
      <c r="P8" s="8"/>
      <c r="Q8" s="8"/>
      <c r="R8" s="8"/>
      <c r="S8" s="8"/>
      <c r="T8" s="8"/>
      <c r="U8" s="8"/>
      <c r="V8" s="8"/>
    </row>
    <row r="9" ht="14.25" customHeight="1">
      <c r="B9" s="9"/>
      <c r="L9" s="10"/>
      <c r="N9" s="8"/>
      <c r="O9" s="8"/>
      <c r="P9" s="8"/>
      <c r="Q9" s="8"/>
      <c r="R9" s="8"/>
      <c r="S9" s="8"/>
      <c r="T9" s="8"/>
      <c r="U9" s="8"/>
      <c r="V9" s="8"/>
    </row>
    <row r="10" ht="14.25" customHeight="1">
      <c r="B10" s="9"/>
      <c r="L10" s="10"/>
      <c r="N10" s="8"/>
      <c r="O10" s="8"/>
      <c r="P10" s="8"/>
      <c r="Q10" s="8"/>
      <c r="R10" s="8"/>
      <c r="S10" s="8"/>
      <c r="T10" s="8"/>
      <c r="U10" s="8"/>
      <c r="V10" s="8"/>
    </row>
    <row r="11" ht="14.25" customHeight="1">
      <c r="B11" s="9"/>
      <c r="L11" s="10"/>
      <c r="N11" s="8"/>
      <c r="O11" s="8"/>
      <c r="P11" s="8"/>
      <c r="Q11" s="8"/>
      <c r="R11" s="8"/>
      <c r="S11" s="8"/>
      <c r="T11" s="8"/>
      <c r="U11" s="8"/>
      <c r="V11" s="8"/>
    </row>
    <row r="12" ht="14.25" customHeight="1">
      <c r="B12" s="9"/>
      <c r="L12" s="10"/>
      <c r="N12" s="8"/>
      <c r="O12" s="8"/>
      <c r="P12" s="8"/>
      <c r="Q12" s="8"/>
      <c r="R12" s="8"/>
      <c r="S12" s="8"/>
      <c r="T12" s="8"/>
      <c r="U12" s="8"/>
      <c r="V12" s="8"/>
    </row>
    <row r="13" ht="14.25" customHeight="1">
      <c r="B13" s="9"/>
      <c r="L13" s="10"/>
      <c r="N13" s="8"/>
      <c r="O13" s="8"/>
      <c r="P13" s="8"/>
      <c r="Q13" s="8"/>
      <c r="R13" s="8"/>
      <c r="S13" s="8"/>
      <c r="T13" s="8"/>
      <c r="U13" s="8"/>
      <c r="V13" s="8"/>
    </row>
    <row r="14" ht="14.25" customHeight="1">
      <c r="B14" s="9"/>
      <c r="L14" s="10"/>
      <c r="N14" s="8"/>
      <c r="O14" s="8"/>
      <c r="P14" s="8"/>
      <c r="Q14" s="8"/>
      <c r="R14" s="8"/>
      <c r="S14" s="8"/>
      <c r="T14" s="8"/>
      <c r="U14" s="8"/>
      <c r="V14" s="8"/>
    </row>
    <row r="15" ht="14.25" customHeight="1">
      <c r="B15" s="9"/>
      <c r="L15" s="10"/>
      <c r="N15" s="8"/>
      <c r="O15" s="8"/>
      <c r="P15" s="8"/>
      <c r="Q15" s="8"/>
      <c r="R15" s="8"/>
      <c r="S15" s="8"/>
      <c r="T15" s="8"/>
      <c r="U15" s="8"/>
      <c r="V15" s="8"/>
    </row>
    <row r="16" ht="14.25" customHeight="1">
      <c r="B16" s="9"/>
      <c r="L16" s="10"/>
      <c r="N16" s="8"/>
      <c r="O16" s="8"/>
      <c r="P16" s="8"/>
      <c r="Q16" s="8"/>
      <c r="R16" s="8"/>
      <c r="S16" s="8"/>
      <c r="T16" s="8"/>
      <c r="U16" s="8"/>
      <c r="V16" s="8"/>
    </row>
    <row r="17" ht="14.25" customHeight="1">
      <c r="B17" s="9"/>
      <c r="L17" s="10"/>
      <c r="N17" s="8"/>
      <c r="O17" s="8"/>
      <c r="P17" s="8"/>
      <c r="Q17" s="8"/>
      <c r="R17" s="8"/>
      <c r="S17" s="8"/>
      <c r="T17" s="8"/>
      <c r="U17" s="8"/>
      <c r="V17" s="8"/>
    </row>
    <row r="18" ht="14.25" customHeight="1">
      <c r="B18" s="9"/>
      <c r="L18" s="10"/>
      <c r="N18" s="8"/>
      <c r="O18" s="8"/>
      <c r="P18" s="8"/>
      <c r="Q18" s="8"/>
      <c r="R18" s="8"/>
      <c r="S18" s="8"/>
      <c r="T18" s="8"/>
      <c r="U18" s="8"/>
      <c r="V18" s="8"/>
    </row>
    <row r="19" ht="14.25" customHeight="1">
      <c r="B19" s="9"/>
      <c r="L19" s="10"/>
      <c r="N19" s="8"/>
      <c r="O19" s="8"/>
      <c r="P19" s="8"/>
      <c r="Q19" s="8"/>
      <c r="R19" s="8"/>
      <c r="S19" s="8"/>
      <c r="T19" s="8"/>
      <c r="U19" s="8"/>
      <c r="V19" s="8"/>
    </row>
    <row r="20" ht="14.25" customHeight="1">
      <c r="B20" s="9"/>
      <c r="L20" s="10"/>
      <c r="N20" s="8"/>
      <c r="O20" s="8"/>
      <c r="P20" s="8"/>
      <c r="Q20" s="8"/>
      <c r="R20" s="8"/>
      <c r="S20" s="8"/>
      <c r="T20" s="8"/>
      <c r="U20" s="8"/>
      <c r="V20" s="8"/>
    </row>
    <row r="21" ht="14.25" customHeight="1">
      <c r="B21" s="9"/>
      <c r="L21" s="10"/>
    </row>
    <row r="22" ht="14.25" customHeight="1">
      <c r="B22" s="9"/>
      <c r="L22" s="10"/>
    </row>
    <row r="23" ht="14.25" customHeight="1">
      <c r="B23" s="9"/>
      <c r="L23" s="10"/>
    </row>
    <row r="24" ht="14.25" customHeight="1">
      <c r="B24" s="9"/>
      <c r="L24" s="10"/>
      <c r="N24" s="2"/>
    </row>
    <row r="25" ht="14.25" customHeight="1">
      <c r="B25" s="9"/>
      <c r="L25" s="10"/>
    </row>
    <row r="26" ht="14.25" customHeight="1">
      <c r="B26" s="9"/>
      <c r="L26" s="10"/>
    </row>
    <row r="27" ht="14.25" customHeight="1">
      <c r="B27" s="9"/>
      <c r="L27" s="10"/>
    </row>
    <row r="28" ht="14.25" customHeight="1">
      <c r="B28" s="9"/>
      <c r="L28" s="10"/>
    </row>
    <row r="29" ht="14.25" customHeight="1">
      <c r="B29" s="9"/>
      <c r="L29" s="10"/>
    </row>
    <row r="30" ht="14.25" customHeight="1">
      <c r="B30" s="9"/>
      <c r="L30" s="10"/>
    </row>
    <row r="31" ht="14.25" customHeight="1">
      <c r="B31" s="9"/>
      <c r="L31" s="10"/>
    </row>
    <row r="32" ht="14.25" customHeight="1">
      <c r="B32" s="9"/>
      <c r="L32" s="10"/>
    </row>
    <row r="33" ht="14.25" customHeight="1">
      <c r="B33" s="9"/>
      <c r="L33" s="10"/>
    </row>
    <row r="34" ht="14.25" customHeight="1">
      <c r="B34" s="11"/>
      <c r="C34" s="12"/>
      <c r="D34" s="12"/>
      <c r="E34" s="12"/>
      <c r="F34" s="12"/>
      <c r="G34" s="12"/>
      <c r="H34" s="12"/>
      <c r="I34" s="12"/>
      <c r="J34" s="12"/>
      <c r="K34" s="12"/>
      <c r="L34" s="13"/>
    </row>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B7:L34"/>
  </mergeCells>
  <hyperlinks>
    <hyperlink r:id="rId1" ref="B5"/>
  </hyperlinks>
  <printOptions/>
  <pageMargins bottom="0.75" footer="0.0" header="0.0" left="0.7" right="0.7" top="0.75"/>
  <pageSetup orientation="landscape"/>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4.43" defaultRowHeight="15.0"/>
  <cols>
    <col customWidth="1" min="1" max="1" width="46.86"/>
    <col customWidth="1" min="2" max="8" width="19.71"/>
    <col customWidth="1" min="9" max="13" width="8.71"/>
  </cols>
  <sheetData>
    <row r="1" ht="14.25" customHeight="1">
      <c r="A1" s="2"/>
    </row>
    <row r="2" ht="14.25" customHeight="1">
      <c r="A2" s="14" t="s">
        <v>5</v>
      </c>
      <c r="B2" s="15" t="s">
        <v>6</v>
      </c>
      <c r="C2" s="15" t="s">
        <v>7</v>
      </c>
      <c r="D2" s="15" t="s">
        <v>8</v>
      </c>
      <c r="E2" s="15" t="s">
        <v>9</v>
      </c>
      <c r="F2" s="15" t="s">
        <v>10</v>
      </c>
      <c r="G2" s="15" t="s">
        <v>11</v>
      </c>
      <c r="H2" s="16" t="s">
        <v>12</v>
      </c>
    </row>
    <row r="3" ht="14.25" customHeight="1">
      <c r="A3" s="17" t="s">
        <v>13</v>
      </c>
      <c r="B3" s="18">
        <v>7.0</v>
      </c>
      <c r="C3" s="18">
        <v>5.0</v>
      </c>
      <c r="D3" s="18">
        <v>1.0</v>
      </c>
      <c r="E3" s="18">
        <v>3.0</v>
      </c>
      <c r="F3" s="18">
        <v>5.0</v>
      </c>
      <c r="G3" s="18">
        <v>8.0</v>
      </c>
      <c r="H3" s="19">
        <v>8.0</v>
      </c>
    </row>
    <row r="4" ht="14.25" customHeight="1">
      <c r="A4" s="17" t="s">
        <v>14</v>
      </c>
      <c r="B4" s="18">
        <v>8.0</v>
      </c>
      <c r="C4" s="18">
        <v>7.0</v>
      </c>
      <c r="D4" s="18">
        <v>3.0</v>
      </c>
      <c r="E4" s="18">
        <v>3.0</v>
      </c>
      <c r="F4" s="18">
        <v>7.0</v>
      </c>
      <c r="G4" s="18">
        <v>8.0</v>
      </c>
      <c r="H4" s="19">
        <v>8.0</v>
      </c>
    </row>
    <row r="5" ht="14.25" customHeight="1">
      <c r="A5" s="17" t="s">
        <v>15</v>
      </c>
      <c r="B5" s="18">
        <v>6.0</v>
      </c>
      <c r="C5" s="18">
        <v>1.0</v>
      </c>
      <c r="D5" s="18">
        <v>5.0</v>
      </c>
      <c r="E5" s="18">
        <v>7.0</v>
      </c>
      <c r="F5" s="18">
        <v>5.0</v>
      </c>
      <c r="G5" s="18">
        <v>8.0</v>
      </c>
      <c r="H5" s="19">
        <v>8.0</v>
      </c>
    </row>
    <row r="6" ht="14.25" customHeight="1">
      <c r="A6" s="17" t="s">
        <v>16</v>
      </c>
      <c r="B6" s="18">
        <v>7.0</v>
      </c>
      <c r="C6" s="18">
        <v>1.0</v>
      </c>
      <c r="D6" s="18">
        <v>7.0</v>
      </c>
      <c r="E6" s="18">
        <v>7.0</v>
      </c>
      <c r="F6" s="18">
        <v>7.0</v>
      </c>
      <c r="G6" s="18">
        <v>8.0</v>
      </c>
      <c r="H6" s="19">
        <v>8.0</v>
      </c>
    </row>
    <row r="7" ht="14.25" customHeight="1">
      <c r="A7" s="17" t="s">
        <v>17</v>
      </c>
      <c r="B7" s="18">
        <v>5.0</v>
      </c>
      <c r="C7" s="18">
        <v>10.0</v>
      </c>
      <c r="D7" s="18">
        <v>10.0</v>
      </c>
      <c r="E7" s="18">
        <v>10.0</v>
      </c>
      <c r="F7" s="18">
        <v>8.0</v>
      </c>
      <c r="G7" s="18">
        <v>4.0</v>
      </c>
      <c r="H7" s="18">
        <v>1.0</v>
      </c>
    </row>
    <row r="8" ht="14.25" customHeight="1">
      <c r="A8" s="17" t="s">
        <v>18</v>
      </c>
      <c r="B8" s="18">
        <v>4.0</v>
      </c>
      <c r="C8" s="18">
        <v>8.0</v>
      </c>
      <c r="D8" s="18">
        <v>10.0</v>
      </c>
      <c r="E8" s="18">
        <v>10.0</v>
      </c>
      <c r="F8" s="18">
        <v>8.0</v>
      </c>
      <c r="G8" s="18">
        <v>2.0</v>
      </c>
      <c r="H8" s="19">
        <v>8.0</v>
      </c>
    </row>
    <row r="9" ht="14.25" customHeight="1">
      <c r="A9" s="20" t="s">
        <v>19</v>
      </c>
      <c r="B9" s="3">
        <f t="shared" ref="B9:H9" si="1">MIN(B3:B8)</f>
        <v>4</v>
      </c>
      <c r="C9" s="3">
        <f t="shared" si="1"/>
        <v>1</v>
      </c>
      <c r="D9" s="3">
        <f t="shared" si="1"/>
        <v>1</v>
      </c>
      <c r="E9" s="3">
        <f t="shared" si="1"/>
        <v>3</v>
      </c>
      <c r="F9" s="3">
        <f t="shared" si="1"/>
        <v>5</v>
      </c>
      <c r="G9" s="3">
        <f t="shared" si="1"/>
        <v>2</v>
      </c>
      <c r="H9" s="3">
        <f t="shared" si="1"/>
        <v>1</v>
      </c>
    </row>
    <row r="10" ht="14.25" customHeight="1">
      <c r="A10" s="20" t="s">
        <v>20</v>
      </c>
      <c r="B10" s="3">
        <f t="shared" ref="B10:H10" si="2">MAX(B3:B8)</f>
        <v>8</v>
      </c>
      <c r="C10" s="3">
        <f t="shared" si="2"/>
        <v>10</v>
      </c>
      <c r="D10" s="3">
        <f t="shared" si="2"/>
        <v>10</v>
      </c>
      <c r="E10" s="3">
        <f t="shared" si="2"/>
        <v>10</v>
      </c>
      <c r="F10" s="3">
        <f t="shared" si="2"/>
        <v>8</v>
      </c>
      <c r="G10" s="3">
        <f t="shared" si="2"/>
        <v>8</v>
      </c>
      <c r="H10" s="3">
        <f t="shared" si="2"/>
        <v>8</v>
      </c>
    </row>
    <row r="11" ht="15.0" customHeight="1"/>
    <row r="12" ht="15.0" customHeight="1">
      <c r="D12" s="5" t="s">
        <v>21</v>
      </c>
      <c r="E12" s="6"/>
      <c r="F12" s="6"/>
      <c r="G12" s="6"/>
      <c r="H12" s="7"/>
    </row>
    <row r="13" ht="14.25" customHeight="1">
      <c r="C13" s="3"/>
      <c r="D13" s="9"/>
      <c r="H13" s="10"/>
    </row>
    <row r="14" ht="14.25" customHeight="1">
      <c r="D14" s="9"/>
      <c r="H14" s="10"/>
    </row>
    <row r="15" ht="14.25" customHeight="1">
      <c r="D15" s="9"/>
      <c r="H15" s="10"/>
    </row>
    <row r="16" ht="14.25" customHeight="1">
      <c r="D16" s="9"/>
      <c r="H16" s="10"/>
    </row>
    <row r="17" ht="14.25" customHeight="1">
      <c r="D17" s="9"/>
      <c r="H17" s="10"/>
    </row>
    <row r="18" ht="14.25" customHeight="1">
      <c r="D18" s="9"/>
      <c r="H18" s="10"/>
    </row>
    <row r="19" ht="14.25" customHeight="1">
      <c r="D19" s="9"/>
      <c r="H19" s="10"/>
    </row>
    <row r="20" ht="14.25" customHeight="1">
      <c r="D20" s="9"/>
      <c r="H20" s="10"/>
    </row>
    <row r="21" ht="14.25" customHeight="1">
      <c r="D21" s="11"/>
      <c r="E21" s="12"/>
      <c r="F21" s="12"/>
      <c r="G21" s="12"/>
      <c r="H21" s="13"/>
    </row>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sheetData>
  <mergeCells count="1">
    <mergeCell ref="D12:H21"/>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showGridLines="0"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4.43" defaultRowHeight="15.0"/>
  <cols>
    <col customWidth="1" min="1" max="1" width="19.57"/>
    <col customWidth="1" min="2" max="2" width="0.57"/>
    <col customWidth="1" min="3" max="103" width="1.0"/>
    <col customWidth="1" min="104" max="104" width="12.86"/>
    <col customWidth="1" min="105" max="109" width="8.71"/>
    <col customWidth="1" min="110" max="110" width="24.29"/>
    <col customWidth="1" min="111" max="123" width="8.71"/>
  </cols>
  <sheetData>
    <row r="1" ht="14.25" customHeight="1"/>
    <row r="2" ht="14.25" customHeight="1">
      <c r="B2" s="21"/>
      <c r="C2" s="22">
        <v>0.0</v>
      </c>
      <c r="D2" s="23"/>
      <c r="E2" s="24"/>
      <c r="F2" s="24"/>
      <c r="G2" s="24"/>
      <c r="H2" s="24"/>
      <c r="I2" s="24"/>
      <c r="J2" s="24"/>
      <c r="K2" s="24"/>
      <c r="L2" s="24"/>
      <c r="M2" s="24"/>
      <c r="N2" s="24"/>
      <c r="O2" s="24"/>
      <c r="P2" s="24"/>
      <c r="Q2" s="24"/>
      <c r="R2" s="24"/>
      <c r="S2" s="24"/>
      <c r="T2" s="24"/>
      <c r="U2" s="24"/>
      <c r="V2" s="24"/>
      <c r="W2" s="24"/>
      <c r="X2" s="24"/>
      <c r="Y2" s="24"/>
      <c r="Z2" s="25">
        <v>25.0</v>
      </c>
      <c r="AA2" s="23"/>
      <c r="AB2" s="23"/>
      <c r="AC2" s="24"/>
      <c r="AD2" s="24"/>
      <c r="AE2" s="24"/>
      <c r="AF2" s="24"/>
      <c r="AG2" s="24"/>
      <c r="AH2" s="24"/>
      <c r="AI2" s="24"/>
      <c r="AJ2" s="24"/>
      <c r="AK2" s="24"/>
      <c r="AL2" s="24"/>
      <c r="AM2" s="24"/>
      <c r="AN2" s="24"/>
      <c r="AO2" s="24"/>
      <c r="AP2" s="24"/>
      <c r="AQ2" s="24"/>
      <c r="AR2" s="24"/>
      <c r="AS2" s="24"/>
      <c r="AT2" s="24"/>
      <c r="AU2" s="24"/>
      <c r="AV2" s="24"/>
      <c r="AW2" s="24"/>
      <c r="AX2" s="24"/>
      <c r="AY2" s="25">
        <v>50.0</v>
      </c>
      <c r="AZ2" s="23"/>
      <c r="BA2" s="23"/>
      <c r="BB2" s="24"/>
      <c r="BC2" s="24"/>
      <c r="BD2" s="24"/>
      <c r="BE2" s="24"/>
      <c r="BF2" s="24"/>
      <c r="BG2" s="24"/>
      <c r="BH2" s="24"/>
      <c r="BI2" s="24"/>
      <c r="BJ2" s="24"/>
      <c r="BK2" s="24"/>
      <c r="BL2" s="24"/>
      <c r="BM2" s="24"/>
      <c r="BN2" s="24"/>
      <c r="BO2" s="24"/>
      <c r="BP2" s="24"/>
      <c r="BQ2" s="24"/>
      <c r="BR2" s="24"/>
      <c r="BS2" s="24"/>
      <c r="BT2" s="24"/>
      <c r="BU2" s="24"/>
      <c r="BV2" s="24"/>
      <c r="BW2" s="24"/>
      <c r="BX2" s="25">
        <v>75.0</v>
      </c>
      <c r="BY2" s="23"/>
      <c r="BZ2" s="23"/>
      <c r="CA2" s="24"/>
      <c r="CB2" s="24"/>
      <c r="CC2" s="24"/>
      <c r="CD2" s="24"/>
      <c r="CE2" s="24"/>
      <c r="CF2" s="24"/>
      <c r="CG2" s="24"/>
      <c r="CH2" s="24"/>
      <c r="CI2" s="24"/>
      <c r="CJ2" s="24"/>
      <c r="CK2" s="24"/>
      <c r="CL2" s="24"/>
      <c r="CM2" s="24"/>
      <c r="CN2" s="24"/>
      <c r="CO2" s="24"/>
      <c r="CP2" s="24"/>
      <c r="CQ2" s="24"/>
      <c r="CR2" s="24"/>
      <c r="CS2" s="24"/>
      <c r="CT2" s="24"/>
      <c r="CU2" s="26">
        <v>100.0</v>
      </c>
      <c r="CV2" s="23"/>
      <c r="CW2" s="23"/>
      <c r="CX2" s="27"/>
      <c r="CY2" s="28"/>
    </row>
    <row r="3" ht="14.25" customHeight="1">
      <c r="A3" s="14" t="s">
        <v>5</v>
      </c>
      <c r="C3" s="29">
        <v>1.0</v>
      </c>
      <c r="D3" s="30">
        <v>2.0</v>
      </c>
      <c r="E3" s="30">
        <v>3.0</v>
      </c>
      <c r="F3" s="30">
        <v>4.0</v>
      </c>
      <c r="G3" s="30">
        <v>5.0</v>
      </c>
      <c r="H3" s="30">
        <v>6.0</v>
      </c>
      <c r="I3" s="30">
        <v>7.0</v>
      </c>
      <c r="J3" s="30">
        <v>8.0</v>
      </c>
      <c r="K3" s="30">
        <v>9.0</v>
      </c>
      <c r="L3" s="30">
        <v>10.0</v>
      </c>
      <c r="M3" s="30">
        <v>11.0</v>
      </c>
      <c r="N3" s="30">
        <v>12.0</v>
      </c>
      <c r="O3" s="30">
        <v>13.0</v>
      </c>
      <c r="P3" s="30">
        <v>14.0</v>
      </c>
      <c r="Q3" s="30">
        <v>15.0</v>
      </c>
      <c r="R3" s="30">
        <v>16.0</v>
      </c>
      <c r="S3" s="30">
        <v>17.0</v>
      </c>
      <c r="T3" s="30">
        <v>18.0</v>
      </c>
      <c r="U3" s="30">
        <v>19.0</v>
      </c>
      <c r="V3" s="30">
        <v>20.0</v>
      </c>
      <c r="W3" s="30">
        <v>21.0</v>
      </c>
      <c r="X3" s="30">
        <v>22.0</v>
      </c>
      <c r="Y3" s="30">
        <v>23.0</v>
      </c>
      <c r="Z3" s="30">
        <v>24.0</v>
      </c>
      <c r="AA3" s="31">
        <v>25.0</v>
      </c>
      <c r="AB3" s="30">
        <v>26.0</v>
      </c>
      <c r="AC3" s="30">
        <v>27.0</v>
      </c>
      <c r="AD3" s="30">
        <v>28.0</v>
      </c>
      <c r="AE3" s="30">
        <v>29.0</v>
      </c>
      <c r="AF3" s="30">
        <v>30.0</v>
      </c>
      <c r="AG3" s="30">
        <v>31.0</v>
      </c>
      <c r="AH3" s="30">
        <v>32.0</v>
      </c>
      <c r="AI3" s="30">
        <v>33.0</v>
      </c>
      <c r="AJ3" s="30">
        <v>34.0</v>
      </c>
      <c r="AK3" s="30">
        <v>35.0</v>
      </c>
      <c r="AL3" s="30">
        <v>36.0</v>
      </c>
      <c r="AM3" s="30">
        <v>37.0</v>
      </c>
      <c r="AN3" s="30">
        <v>38.0</v>
      </c>
      <c r="AO3" s="30">
        <v>39.0</v>
      </c>
      <c r="AP3" s="30">
        <v>40.0</v>
      </c>
      <c r="AQ3" s="30">
        <v>41.0</v>
      </c>
      <c r="AR3" s="30">
        <v>42.0</v>
      </c>
      <c r="AS3" s="30">
        <v>43.0</v>
      </c>
      <c r="AT3" s="30">
        <v>44.0</v>
      </c>
      <c r="AU3" s="30">
        <v>45.0</v>
      </c>
      <c r="AV3" s="30">
        <v>46.0</v>
      </c>
      <c r="AW3" s="30">
        <v>47.0</v>
      </c>
      <c r="AX3" s="30">
        <v>48.0</v>
      </c>
      <c r="AY3" s="30">
        <v>49.0</v>
      </c>
      <c r="AZ3" s="31">
        <v>50.0</v>
      </c>
      <c r="BA3" s="30">
        <v>51.0</v>
      </c>
      <c r="BB3" s="30">
        <v>52.0</v>
      </c>
      <c r="BC3" s="30">
        <v>53.0</v>
      </c>
      <c r="BD3" s="30">
        <v>54.0</v>
      </c>
      <c r="BE3" s="30">
        <v>55.0</v>
      </c>
      <c r="BF3" s="30">
        <v>56.0</v>
      </c>
      <c r="BG3" s="30">
        <v>57.0</v>
      </c>
      <c r="BH3" s="30">
        <v>58.0</v>
      </c>
      <c r="BI3" s="30">
        <v>59.0</v>
      </c>
      <c r="BJ3" s="30">
        <v>60.0</v>
      </c>
      <c r="BK3" s="30">
        <v>61.0</v>
      </c>
      <c r="BL3" s="30">
        <v>62.0</v>
      </c>
      <c r="BM3" s="30">
        <v>63.0</v>
      </c>
      <c r="BN3" s="30">
        <v>64.0</v>
      </c>
      <c r="BO3" s="30">
        <v>65.0</v>
      </c>
      <c r="BP3" s="30">
        <v>66.0</v>
      </c>
      <c r="BQ3" s="30">
        <v>67.0</v>
      </c>
      <c r="BR3" s="30">
        <v>68.0</v>
      </c>
      <c r="BS3" s="30">
        <v>69.0</v>
      </c>
      <c r="BT3" s="30">
        <v>70.0</v>
      </c>
      <c r="BU3" s="30">
        <v>71.0</v>
      </c>
      <c r="BV3" s="30">
        <v>72.0</v>
      </c>
      <c r="BW3" s="30">
        <v>73.0</v>
      </c>
      <c r="BX3" s="30">
        <v>74.0</v>
      </c>
      <c r="BY3" s="31">
        <v>75.0</v>
      </c>
      <c r="BZ3" s="30">
        <v>76.0</v>
      </c>
      <c r="CA3" s="30">
        <v>77.0</v>
      </c>
      <c r="CB3" s="30">
        <v>78.0</v>
      </c>
      <c r="CC3" s="30">
        <v>79.0</v>
      </c>
      <c r="CD3" s="30">
        <v>80.0</v>
      </c>
      <c r="CE3" s="30">
        <v>81.0</v>
      </c>
      <c r="CF3" s="30">
        <v>82.0</v>
      </c>
      <c r="CG3" s="30">
        <v>83.0</v>
      </c>
      <c r="CH3" s="30">
        <v>84.0</v>
      </c>
      <c r="CI3" s="30">
        <v>85.0</v>
      </c>
      <c r="CJ3" s="30">
        <v>86.0</v>
      </c>
      <c r="CK3" s="30">
        <v>87.0</v>
      </c>
      <c r="CL3" s="30">
        <v>88.0</v>
      </c>
      <c r="CM3" s="30">
        <v>89.0</v>
      </c>
      <c r="CN3" s="30">
        <v>90.0</v>
      </c>
      <c r="CO3" s="30">
        <v>91.0</v>
      </c>
      <c r="CP3" s="30">
        <v>92.0</v>
      </c>
      <c r="CQ3" s="30">
        <v>93.0</v>
      </c>
      <c r="CR3" s="30">
        <v>94.0</v>
      </c>
      <c r="CS3" s="30">
        <v>95.0</v>
      </c>
      <c r="CT3" s="30">
        <v>96.0</v>
      </c>
      <c r="CU3" s="30">
        <v>97.0</v>
      </c>
      <c r="CV3" s="30">
        <v>98.0</v>
      </c>
      <c r="CW3" s="30">
        <v>99.0</v>
      </c>
      <c r="CX3" s="32">
        <v>100.0</v>
      </c>
      <c r="CZ3" s="14" t="s">
        <v>22</v>
      </c>
      <c r="DA3" s="14" t="s">
        <v>23</v>
      </c>
    </row>
    <row r="4" ht="14.25" customHeight="1">
      <c r="A4" s="33" t="str">
        <f>'Calc - Ranked'!B3</f>
        <v>Filter in bottom chamber, two chamber, screw in</v>
      </c>
      <c r="C4" s="34"/>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c r="BY4" s="35"/>
      <c r="BZ4" s="35"/>
      <c r="CA4" s="35"/>
      <c r="CB4" s="35"/>
      <c r="CC4" s="35"/>
      <c r="CD4" s="35"/>
      <c r="CE4" s="35"/>
      <c r="CF4" s="35"/>
      <c r="CG4" s="35"/>
      <c r="CH4" s="35"/>
      <c r="CI4" s="35"/>
      <c r="CJ4" s="35"/>
      <c r="CK4" s="35"/>
      <c r="CL4" s="35"/>
      <c r="CM4" s="35"/>
      <c r="CN4" s="35"/>
      <c r="CO4" s="35"/>
      <c r="CP4" s="35"/>
      <c r="CQ4" s="35"/>
      <c r="CR4" s="35"/>
      <c r="CS4" s="35"/>
      <c r="CT4" s="35"/>
      <c r="CU4" s="35"/>
      <c r="CV4" s="35"/>
      <c r="CW4" s="35"/>
      <c r="CX4" s="36"/>
      <c r="CZ4" s="37">
        <f>'Calc - Ranked'!J3</f>
        <v>73.63095238</v>
      </c>
      <c r="DA4" s="38">
        <f>'Calc - Ranked'!A3</f>
        <v>1</v>
      </c>
    </row>
    <row r="5" ht="14.25" customHeight="1">
      <c r="A5" s="33" t="str">
        <f>'Calc - Ranked'!B4</f>
        <v>Filter in bottom chamber, two chamber, clamp in</v>
      </c>
      <c r="C5" s="34"/>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c r="BY5" s="35"/>
      <c r="BZ5" s="35"/>
      <c r="CA5" s="35"/>
      <c r="CB5" s="35"/>
      <c r="CC5" s="35"/>
      <c r="CD5" s="35"/>
      <c r="CE5" s="35"/>
      <c r="CF5" s="35"/>
      <c r="CG5" s="35"/>
      <c r="CH5" s="35"/>
      <c r="CI5" s="35"/>
      <c r="CJ5" s="35"/>
      <c r="CK5" s="35"/>
      <c r="CL5" s="35"/>
      <c r="CM5" s="35"/>
      <c r="CN5" s="35"/>
      <c r="CO5" s="35"/>
      <c r="CP5" s="35"/>
      <c r="CQ5" s="35"/>
      <c r="CR5" s="35"/>
      <c r="CS5" s="35"/>
      <c r="CT5" s="35"/>
      <c r="CU5" s="35"/>
      <c r="CV5" s="35"/>
      <c r="CW5" s="35"/>
      <c r="CX5" s="36"/>
      <c r="CZ5" s="37">
        <f>'Calc - Ranked'!J4</f>
        <v>71.66666667</v>
      </c>
      <c r="DA5" s="38">
        <f>'Calc - Ranked'!A4</f>
        <v>2</v>
      </c>
      <c r="DB5" s="39" t="s">
        <v>24</v>
      </c>
      <c r="DC5" s="40" t="s">
        <v>25</v>
      </c>
      <c r="DD5" s="40" t="s">
        <v>26</v>
      </c>
      <c r="DE5" s="41" t="s">
        <v>27</v>
      </c>
      <c r="DF5" s="14" t="s">
        <v>28</v>
      </c>
      <c r="DG5" s="14" t="s">
        <v>29</v>
      </c>
      <c r="DH5" s="42" t="s">
        <v>30</v>
      </c>
    </row>
    <row r="6" ht="14.25" customHeight="1">
      <c r="A6" s="33" t="str">
        <f>'Calc - Ranked'!B5</f>
        <v>Single chamber, cone filter</v>
      </c>
      <c r="C6" s="34"/>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c r="BY6" s="35"/>
      <c r="BZ6" s="35"/>
      <c r="CA6" s="35"/>
      <c r="CB6" s="35"/>
      <c r="CC6" s="35"/>
      <c r="CD6" s="35"/>
      <c r="CE6" s="35"/>
      <c r="CF6" s="35"/>
      <c r="CG6" s="35"/>
      <c r="CH6" s="35"/>
      <c r="CI6" s="35"/>
      <c r="CJ6" s="35"/>
      <c r="CK6" s="35"/>
      <c r="CL6" s="35"/>
      <c r="CM6" s="35"/>
      <c r="CN6" s="35"/>
      <c r="CO6" s="35"/>
      <c r="CP6" s="35"/>
      <c r="CQ6" s="35"/>
      <c r="CR6" s="35"/>
      <c r="CS6" s="35"/>
      <c r="CT6" s="35"/>
      <c r="CU6" s="35"/>
      <c r="CV6" s="35"/>
      <c r="CW6" s="35"/>
      <c r="CX6" s="36"/>
      <c r="CZ6" s="37">
        <f>'Calc - Ranked'!J5</f>
        <v>62.77777778</v>
      </c>
      <c r="DA6" s="38">
        <f>'Calc - Ranked'!A5</f>
        <v>3</v>
      </c>
      <c r="DF6" s="43" t="str">
        <f>IF(ISBLANK('Raw Data'!B2),"",'Raw Data'!B2)</f>
        <v>Sterilization</v>
      </c>
      <c r="DG6" s="44">
        <v>15.0</v>
      </c>
      <c r="DH6" s="45">
        <f t="shared" ref="DH6:DH12" si="1">100*DG6/$DG$13</f>
        <v>15</v>
      </c>
    </row>
    <row r="7" ht="14.25" customHeight="1">
      <c r="A7" s="33" t="str">
        <f>'Calc - Ranked'!B6</f>
        <v>Filter in spike, two chamber, screw in</v>
      </c>
      <c r="C7" s="34"/>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6"/>
      <c r="CZ7" s="37">
        <f>'Calc - Ranked'!J6</f>
        <v>59.88095238</v>
      </c>
      <c r="DA7" s="38">
        <f>'Calc - Ranked'!A6</f>
        <v>4</v>
      </c>
      <c r="DF7" s="46" t="str">
        <f>IF(ISBLANK('Raw Data'!C2),"",'Raw Data'!C2)</f>
        <v>Durability</v>
      </c>
      <c r="DG7" s="44">
        <v>10.0</v>
      </c>
      <c r="DH7" s="45">
        <f t="shared" si="1"/>
        <v>10</v>
      </c>
    </row>
    <row r="8" ht="14.25" customHeight="1">
      <c r="A8" s="33" t="str">
        <f>'Calc - Ranked'!B7</f>
        <v>Filter in spike, two chamber, clamp in</v>
      </c>
      <c r="C8" s="34"/>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6"/>
      <c r="CZ8" s="37">
        <f>'Calc - Ranked'!J7</f>
        <v>55.69444444</v>
      </c>
      <c r="DA8" s="38">
        <f>'Calc - Ranked'!A7</f>
        <v>5</v>
      </c>
      <c r="DF8" s="47" t="str">
        <f>IF(ISBLANK('Raw Data'!D2),"",'Raw Data'!D2)</f>
        <v>Ease of Assembly</v>
      </c>
      <c r="DG8" s="44">
        <v>15.0</v>
      </c>
      <c r="DH8" s="45">
        <f t="shared" si="1"/>
        <v>15</v>
      </c>
    </row>
    <row r="9" ht="14.25" customHeight="1">
      <c r="A9" s="33" t="str">
        <f>'Calc - Ranked'!B8</f>
        <v>Single Chamber flat filter</v>
      </c>
      <c r="C9" s="34"/>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6"/>
      <c r="CZ9" s="37">
        <f>'Calc - Ranked'!J8</f>
        <v>55.41666667</v>
      </c>
      <c r="DA9" s="38">
        <f>'Calc - Ranked'!A8</f>
        <v>6</v>
      </c>
      <c r="DF9" s="48" t="str">
        <f>IF(ISBLANK('Raw Data'!E2),"",'Raw Data'!E2)</f>
        <v>Leakage</v>
      </c>
      <c r="DG9" s="44">
        <v>10.0</v>
      </c>
      <c r="DH9" s="45">
        <f t="shared" si="1"/>
        <v>10</v>
      </c>
    </row>
    <row r="10" ht="14.25" customHeight="1">
      <c r="A10" s="33" t="str">
        <f>#REF!</f>
        <v>#REF!</v>
      </c>
      <c r="C10" s="34"/>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6"/>
      <c r="CZ10" s="37" t="str">
        <f t="shared" ref="CZ10:DA10" si="2">#REF!</f>
        <v>#REF!</v>
      </c>
      <c r="DA10" s="38" t="str">
        <f t="shared" si="2"/>
        <v>#REF!</v>
      </c>
      <c r="DF10" s="49" t="str">
        <f>IF(ISBLANK('Raw Data'!F2),"",'Raw Data'!F2)</f>
        <v>Flow Control</v>
      </c>
      <c r="DG10" s="44">
        <v>10.0</v>
      </c>
      <c r="DH10" s="45">
        <f t="shared" si="1"/>
        <v>10</v>
      </c>
    </row>
    <row r="11" ht="14.25" customHeight="1">
      <c r="A11" s="33"/>
      <c r="C11" s="34"/>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6"/>
      <c r="CZ11" s="37"/>
      <c r="DA11" s="38"/>
      <c r="DF11" s="50" t="str">
        <f>IF(ISBLANK('Raw Data'!G2),"",'Raw Data'!G2)</f>
        <v>Filter Compatability</v>
      </c>
      <c r="DG11" s="44">
        <v>20.0</v>
      </c>
      <c r="DH11" s="45">
        <f t="shared" si="1"/>
        <v>20</v>
      </c>
    </row>
    <row r="12" ht="14.25" customHeight="1">
      <c r="A12" s="33"/>
      <c r="C12" s="34"/>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6"/>
      <c r="CZ12" s="37"/>
      <c r="DA12" s="38"/>
      <c r="DF12" s="51" t="str">
        <f>IF(ISBLANK('Raw Data'!H2),"",'Raw Data'!H2)</f>
        <v>Filter Surface Area</v>
      </c>
      <c r="DG12" s="44">
        <v>20.0</v>
      </c>
      <c r="DH12" s="45">
        <f t="shared" si="1"/>
        <v>20</v>
      </c>
    </row>
    <row r="13" ht="14.25" customHeight="1">
      <c r="A13" s="33"/>
      <c r="C13" s="34"/>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6"/>
      <c r="CZ13" s="37"/>
      <c r="DA13" s="38"/>
      <c r="DC13" s="3" t="s">
        <v>31</v>
      </c>
      <c r="DF13" s="33" t="s">
        <v>32</v>
      </c>
      <c r="DG13" s="52">
        <f>SUM(DG6:DG12)</f>
        <v>100</v>
      </c>
    </row>
    <row r="14" ht="14.25" customHeight="1">
      <c r="A14" s="33"/>
      <c r="C14" s="34"/>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6"/>
      <c r="CZ14" s="37"/>
      <c r="DA14" s="38"/>
      <c r="DD14" s="39"/>
    </row>
    <row r="15" ht="14.25" customHeight="1">
      <c r="A15" s="33"/>
      <c r="C15" s="34"/>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c r="CD15" s="35"/>
      <c r="CE15" s="35"/>
      <c r="CF15" s="35"/>
      <c r="CG15" s="35"/>
      <c r="CH15" s="35"/>
      <c r="CI15" s="35"/>
      <c r="CJ15" s="35"/>
      <c r="CK15" s="35"/>
      <c r="CL15" s="35"/>
      <c r="CM15" s="35"/>
      <c r="CN15" s="35"/>
      <c r="CO15" s="35"/>
      <c r="CP15" s="35"/>
      <c r="CQ15" s="35"/>
      <c r="CR15" s="35"/>
      <c r="CS15" s="35"/>
      <c r="CT15" s="35"/>
      <c r="CU15" s="35"/>
      <c r="CV15" s="35"/>
      <c r="CW15" s="35"/>
      <c r="CX15" s="36"/>
      <c r="CZ15" s="37"/>
      <c r="DA15" s="38"/>
    </row>
    <row r="16" ht="14.25" customHeight="1"/>
    <row r="17" ht="15.0" customHeight="1">
      <c r="CZ17" s="5" t="s">
        <v>33</v>
      </c>
      <c r="DA17" s="6"/>
      <c r="DB17" s="6"/>
      <c r="DC17" s="6"/>
      <c r="DD17" s="6"/>
      <c r="DE17" s="6"/>
      <c r="DF17" s="6"/>
      <c r="DG17" s="6"/>
      <c r="DH17" s="6"/>
      <c r="DI17" s="7"/>
    </row>
    <row r="18" ht="14.25" customHeight="1">
      <c r="CZ18" s="9"/>
      <c r="DI18" s="10"/>
    </row>
    <row r="19" ht="14.25" customHeight="1">
      <c r="CZ19" s="9"/>
      <c r="DI19" s="10"/>
    </row>
    <row r="20" ht="14.25" customHeight="1">
      <c r="CZ20" s="9"/>
      <c r="DI20" s="10"/>
    </row>
    <row r="21" ht="14.25" customHeight="1">
      <c r="CZ21" s="9"/>
      <c r="DI21" s="10"/>
    </row>
    <row r="22" ht="14.25" customHeight="1">
      <c r="CZ22" s="9"/>
      <c r="DI22" s="10"/>
    </row>
    <row r="23" ht="14.25" customHeight="1">
      <c r="CZ23" s="9"/>
      <c r="DI23" s="10"/>
    </row>
    <row r="24" ht="14.25" customHeight="1">
      <c r="CZ24" s="9"/>
      <c r="DI24" s="10"/>
    </row>
    <row r="25" ht="14.25" customHeight="1">
      <c r="CZ25" s="9"/>
      <c r="DI25" s="10"/>
    </row>
    <row r="26" ht="14.25" customHeight="1">
      <c r="CZ26" s="9"/>
      <c r="DI26" s="10"/>
    </row>
    <row r="27" ht="14.25" customHeight="1">
      <c r="CZ27" s="9"/>
      <c r="DI27" s="10"/>
    </row>
    <row r="28" ht="14.25" customHeight="1">
      <c r="CZ28" s="11"/>
      <c r="DA28" s="12"/>
      <c r="DB28" s="12"/>
      <c r="DC28" s="12"/>
      <c r="DD28" s="12"/>
      <c r="DE28" s="12"/>
      <c r="DF28" s="12"/>
      <c r="DG28" s="12"/>
      <c r="DH28" s="12"/>
      <c r="DI28" s="13"/>
    </row>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sheetData>
  <mergeCells count="6">
    <mergeCell ref="C2:D2"/>
    <mergeCell ref="Z2:AB2"/>
    <mergeCell ref="AY2:BA2"/>
    <mergeCell ref="BX2:BZ2"/>
    <mergeCell ref="CU2:CX2"/>
    <mergeCell ref="CZ17:DI28"/>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8.71"/>
    <col customWidth="1" min="2" max="2" width="45.14"/>
    <col customWidth="1" min="3" max="9" width="17.57"/>
    <col customWidth="1" min="10" max="10" width="12.29"/>
    <col customWidth="1" min="11" max="13" width="8.71"/>
  </cols>
  <sheetData>
    <row r="1" ht="14.25" customHeight="1">
      <c r="C1" s="53" t="s">
        <v>34</v>
      </c>
      <c r="D1" s="54"/>
      <c r="E1" s="54"/>
      <c r="F1" s="54"/>
      <c r="G1" s="54"/>
      <c r="H1" s="54"/>
      <c r="I1" s="55"/>
    </row>
    <row r="2" ht="14.25" customHeight="1">
      <c r="B2" s="56" t="s">
        <v>5</v>
      </c>
      <c r="C2" s="56" t="str">
        <f>IF(ISBLANK('Raw Data'!B2),"",'Raw Data'!B2)</f>
        <v>Sterilization</v>
      </c>
      <c r="D2" s="56" t="str">
        <f>IF(ISBLANK('Raw Data'!C2),"",'Raw Data'!C2)</f>
        <v>Durability</v>
      </c>
      <c r="E2" s="56" t="str">
        <f>IF(ISBLANK('Raw Data'!D2),"",'Raw Data'!D2)</f>
        <v>Ease of Assembly</v>
      </c>
      <c r="F2" s="56" t="str">
        <f>IF(ISBLANK('Raw Data'!E2),"",'Raw Data'!E2)</f>
        <v>Leakage</v>
      </c>
      <c r="G2" s="56" t="str">
        <f>IF(ISBLANK('Raw Data'!F2),"",'Raw Data'!F2)</f>
        <v>Flow Control</v>
      </c>
      <c r="H2" s="56" t="str">
        <f>IF(ISBLANK('Raw Data'!G2),"",'Raw Data'!G2)</f>
        <v>Filter Compatability</v>
      </c>
      <c r="I2" s="56" t="str">
        <f>IF(ISBLANK('Raw Data'!H2),"",'Raw Data'!H2)</f>
        <v>Filter Surface Area</v>
      </c>
      <c r="J2" s="56" t="s">
        <v>32</v>
      </c>
    </row>
    <row r="3" ht="14.25" customHeight="1">
      <c r="B3" s="33" t="str">
        <f>'Raw Data'!A3</f>
        <v>Filter in spike, two chamber, clamp in</v>
      </c>
      <c r="C3" s="57">
        <f t="array" ref="C3">IF(  ISBLANK('Raw Data'!B3), 0, IF(     'Utility Functions'!$I$22=13,        INDEX('Utility Functions'!$Z$25:$Z$35, MATCH('Raw Data'!B3,'Utility Functions'!$Y$25:$Y$35, 0), 0),          FORECAST('Raw Data'!B3,OFFSET('Utility Functions'!$I$27, MIN(MATCH('Raw Data'!B3,'Utility Functions'!$H$27:$H$37,1),10)-1,0,2),OFFSET('Utility Functions'!$H$27, MIN(MATCH('Raw Data'!B3,'Utility Functions'!$H$27:$H$37,1), 10)-1,0,2))          ) )</f>
        <v>0.75</v>
      </c>
      <c r="D3" s="57">
        <f t="array" ref="D3">IF(  ISBLANK('Raw Data'!C3), 0, IF(     'Utility Functions'!$I$40=13,        INDEX('Utility Functions'!$Z$43:$Z$53, MATCH('Raw Data'!C3,'Utility Functions'!$Y$43:$Y$53, 0), 0),          FORECAST('Raw Data'!C3,OFFSET('Utility Functions'!$I$45, MIN(MATCH('Raw Data'!C3,'Utility Functions'!$H$45:$H$55,1),10)-1,0,2),OFFSET('Utility Functions'!$H$45, MIN(MATCH('Raw Data'!C3,'Utility Functions'!$H$45:$H$55,1), 10)-1,0,2))          ) )</f>
        <v>0.4444444444</v>
      </c>
      <c r="E3" s="57">
        <f t="array" ref="E3">IF(  ISBLANK('Raw Data'!D3), 0, IF(     'Utility Functions'!$I$58=13,        INDEX('Utility Functions'!$Z$61:$Z$71, MATCH('Raw Data'!D3,'Utility Functions'!$Y$61:$Y$71, 0), 0),          FORECAST('Raw Data'!D3,OFFSET('Utility Functions'!$I$63, MIN(MATCH('Raw Data'!D3,'Utility Functions'!$H$63:$H$73,1),10)-1,0,2),OFFSET('Utility Functions'!$H$63, MIN(MATCH('Raw Data'!D3,'Utility Functions'!$H$63:$H$73,1), 10)-1,0,2))          ) )</f>
        <v>0</v>
      </c>
      <c r="F3" s="57">
        <f t="array" ref="F3">IF(  ISBLANK('Raw Data'!E3), 0, IF(     'Utility Functions'!$I$76=13,        INDEX('Utility Functions'!$Z$79:$Z$89, MATCH('Raw Data'!E3,'Utility Functions'!$Y$79:$Y$89, 0), 0),          FORECAST('Raw Data'!E3,OFFSET('Utility Functions'!$I$81, MIN(MATCH('Raw Data'!E3,'Utility Functions'!$H$81:$H$91,1),10)-1,0,2),OFFSET('Utility Functions'!$H$81, MIN(MATCH('Raw Data'!E3,'Utility Functions'!$H$81:$H$91,1), 10)-1,0,2))          ) )</f>
        <v>0</v>
      </c>
      <c r="G3" s="57">
        <f t="array" ref="G3">IF(  ISBLANK('Raw Data'!F3), 0, IF(     'Utility Functions'!$I$94=13,        INDEX('Utility Functions'!$Z$97:$Z$107, MATCH('Raw Data'!F3,'Utility Functions'!$Y$97:$Y$107, 0), 0),          FORECAST('Raw Data'!F3,OFFSET('Utility Functions'!$I$99, MIN(MATCH('Raw Data'!F3,'Utility Functions'!$H$99:$H$109,1),10)-1,0,2),OFFSET('Utility Functions'!$H$99, MIN(MATCH('Raw Data'!F3,'Utility Functions'!$H$99:$H$109,1), 10)-1,0,2))          ) )</f>
        <v>0</v>
      </c>
      <c r="H3" s="57">
        <f t="array" ref="H3">IF(  ISBLANK('Raw Data'!G3), 0, IF(     'Utility Functions'!$I$112=13,        INDEX('Utility Functions'!$Z$115:$Z$125, MATCH('Raw Data'!G3,'Utility Functions'!$Y$115:$Y$125, 0), 0),          FORECAST('Raw Data'!G3,OFFSET('Utility Functions'!$I$117, MIN(MATCH('Raw Data'!G3,'Utility Functions'!$H$117:$H$127,1),10)-1,0,2),OFFSET('Utility Functions'!$H$117, MIN(MATCH('Raw Data'!G3,'Utility Functions'!$H$117:$H$127,1), 10)-1,0,2))          ) )</f>
        <v>1</v>
      </c>
      <c r="I3" s="57">
        <f t="array" ref="I3">IF(  ISBLANK('Raw Data'!H3), 0, IF(     'Utility Functions'!$I$130=13,        INDEX('Utility Functions'!$Z$133:$Z$143, MATCH('Raw Data'!H3,'Utility Functions'!$Y$133:$Y$143, 0), 0),          FORECAST('Raw Data'!H3,OFFSET('Utility Functions'!$I$135, MIN(MATCH('Raw Data'!H3,'Utility Functions'!$H$135:$H$145,1),10)-1,0,2),OFFSET('Utility Functions'!$H$135, MIN(MATCH('Raw Data'!H3,'Utility Functions'!$H$135:$H$145,1), 10)-1,0,2))          ) )</f>
        <v>1</v>
      </c>
      <c r="J3" s="57">
        <f t="shared" ref="J3:J8" si="1">SUM(C3:I3)</f>
        <v>3.194444444</v>
      </c>
    </row>
    <row r="4" ht="14.25" customHeight="1">
      <c r="B4" s="33" t="str">
        <f>'Raw Data'!A4</f>
        <v>Filter in bottom chamber, two chamber, clamp in</v>
      </c>
      <c r="C4" s="57">
        <f t="array" ref="C4">IF(  ISBLANK('Raw Data'!B4), 0, IF(     'Utility Functions'!$I$22=13,        INDEX('Utility Functions'!$Z$25:$Z$35, MATCH('Raw Data'!B4,'Utility Functions'!$Y$25:$Y$35, 0), 0),          FORECAST('Raw Data'!B4,OFFSET('Utility Functions'!$I$27, MIN(MATCH('Raw Data'!B4,'Utility Functions'!$H$27:$H$37,1),10)-1,0,2),OFFSET('Utility Functions'!$H$27, MIN(MATCH('Raw Data'!B4,'Utility Functions'!$H$27:$H$37,1), 10)-1,0,2))          ) )</f>
        <v>1</v>
      </c>
      <c r="D4" s="57">
        <f t="array" ref="D4">IF(  ISBLANK('Raw Data'!C4), 0, IF(     'Utility Functions'!$I$40=13,        INDEX('Utility Functions'!$Z$43:$Z$53, MATCH('Raw Data'!C4,'Utility Functions'!$Y$43:$Y$53, 0), 0),          FORECAST('Raw Data'!C4,OFFSET('Utility Functions'!$I$45, MIN(MATCH('Raw Data'!C4,'Utility Functions'!$H$45:$H$55,1),10)-1,0,2),OFFSET('Utility Functions'!$H$45, MIN(MATCH('Raw Data'!C4,'Utility Functions'!$H$45:$H$55,1), 10)-1,0,2))          ) )</f>
        <v>0.6666666667</v>
      </c>
      <c r="E4" s="57">
        <f t="array" ref="E4">IF(  ISBLANK('Raw Data'!D4), 0, IF(     'Utility Functions'!$I$58=13,        INDEX('Utility Functions'!$Z$61:$Z$71, MATCH('Raw Data'!D4,'Utility Functions'!$Y$61:$Y$71, 0), 0),          FORECAST('Raw Data'!D4,OFFSET('Utility Functions'!$I$63, MIN(MATCH('Raw Data'!D4,'Utility Functions'!$H$63:$H$73,1),10)-1,0,2),OFFSET('Utility Functions'!$H$63, MIN(MATCH('Raw Data'!D4,'Utility Functions'!$H$63:$H$73,1), 10)-1,0,2))          ) )</f>
        <v>0.2222222222</v>
      </c>
      <c r="F4" s="57">
        <f t="array" ref="F4">IF(  ISBLANK('Raw Data'!E4), 0, IF(     'Utility Functions'!$I$76=13,        INDEX('Utility Functions'!$Z$79:$Z$89, MATCH('Raw Data'!E4,'Utility Functions'!$Y$79:$Y$89, 0), 0),          FORECAST('Raw Data'!E4,OFFSET('Utility Functions'!$I$81, MIN(MATCH('Raw Data'!E4,'Utility Functions'!$H$81:$H$91,1),10)-1,0,2),OFFSET('Utility Functions'!$H$81, MIN(MATCH('Raw Data'!E4,'Utility Functions'!$H$81:$H$91,1), 10)-1,0,2))          ) )</f>
        <v>0</v>
      </c>
      <c r="G4" s="57">
        <f t="array" ref="G4">IF(  ISBLANK('Raw Data'!F4), 0, IF(     'Utility Functions'!$I$94=13,        INDEX('Utility Functions'!$Z$97:$Z$107, MATCH('Raw Data'!F4,'Utility Functions'!$Y$97:$Y$107, 0), 0),          FORECAST('Raw Data'!F4,OFFSET('Utility Functions'!$I$99, MIN(MATCH('Raw Data'!F4,'Utility Functions'!$H$99:$H$109,1),10)-1,0,2),OFFSET('Utility Functions'!$H$99, MIN(MATCH('Raw Data'!F4,'Utility Functions'!$H$99:$H$109,1), 10)-1,0,2))          ) )</f>
        <v>0.6666666667</v>
      </c>
      <c r="H4" s="57">
        <f t="array" ref="H4">IF(  ISBLANK('Raw Data'!G4), 0, IF(     'Utility Functions'!$I$112=13,        INDEX('Utility Functions'!$Z$115:$Z$125, MATCH('Raw Data'!G4,'Utility Functions'!$Y$115:$Y$125, 0), 0),          FORECAST('Raw Data'!G4,OFFSET('Utility Functions'!$I$117, MIN(MATCH('Raw Data'!G4,'Utility Functions'!$H$117:$H$127,1),10)-1,0,2),OFFSET('Utility Functions'!$H$117, MIN(MATCH('Raw Data'!G4,'Utility Functions'!$H$117:$H$127,1), 10)-1,0,2))          ) )</f>
        <v>1</v>
      </c>
      <c r="I4" s="57">
        <f t="array" ref="I4">IF(  ISBLANK('Raw Data'!H4), 0, IF(     'Utility Functions'!$I$130=13,        INDEX('Utility Functions'!$Z$133:$Z$143, MATCH('Raw Data'!H4,'Utility Functions'!$Y$133:$Y$143, 0), 0),          FORECAST('Raw Data'!H4,OFFSET('Utility Functions'!$I$135, MIN(MATCH('Raw Data'!H4,'Utility Functions'!$H$135:$H$145,1),10)-1,0,2),OFFSET('Utility Functions'!$H$135, MIN(MATCH('Raw Data'!H4,'Utility Functions'!$H$135:$H$145,1), 10)-1,0,2))          ) )</f>
        <v>1</v>
      </c>
      <c r="J4" s="57">
        <f t="shared" si="1"/>
        <v>4.555555556</v>
      </c>
    </row>
    <row r="5" ht="14.25" customHeight="1">
      <c r="B5" s="33" t="str">
        <f>'Raw Data'!A5</f>
        <v>Filter in spike, two chamber, screw in</v>
      </c>
      <c r="C5" s="57">
        <f t="array" ref="C5">IF(  ISBLANK('Raw Data'!B5), 0, IF(     'Utility Functions'!$I$22=13,        INDEX('Utility Functions'!$Z$25:$Z$35, MATCH('Raw Data'!B5,'Utility Functions'!$Y$25:$Y$35, 0), 0),          FORECAST('Raw Data'!B5,OFFSET('Utility Functions'!$I$27, MIN(MATCH('Raw Data'!B5,'Utility Functions'!$H$27:$H$37,1),10)-1,0,2),OFFSET('Utility Functions'!$H$27, MIN(MATCH('Raw Data'!B5,'Utility Functions'!$H$27:$H$37,1), 10)-1,0,2))          ) )</f>
        <v>0.5</v>
      </c>
      <c r="D5" s="57">
        <f t="array" ref="D5">IF(  ISBLANK('Raw Data'!C5), 0, IF(     'Utility Functions'!$I$40=13,        INDEX('Utility Functions'!$Z$43:$Z$53, MATCH('Raw Data'!C5,'Utility Functions'!$Y$43:$Y$53, 0), 0),          FORECAST('Raw Data'!C5,OFFSET('Utility Functions'!$I$45, MIN(MATCH('Raw Data'!C5,'Utility Functions'!$H$45:$H$55,1),10)-1,0,2),OFFSET('Utility Functions'!$H$45, MIN(MATCH('Raw Data'!C5,'Utility Functions'!$H$45:$H$55,1), 10)-1,0,2))          ) )</f>
        <v>0</v>
      </c>
      <c r="E5" s="57">
        <f t="array" ref="E5">IF(  ISBLANK('Raw Data'!D5), 0, IF(     'Utility Functions'!$I$58=13,        INDEX('Utility Functions'!$Z$61:$Z$71, MATCH('Raw Data'!D5,'Utility Functions'!$Y$61:$Y$71, 0), 0),          FORECAST('Raw Data'!D5,OFFSET('Utility Functions'!$I$63, MIN(MATCH('Raw Data'!D5,'Utility Functions'!$H$63:$H$73,1),10)-1,0,2),OFFSET('Utility Functions'!$H$63, MIN(MATCH('Raw Data'!D5,'Utility Functions'!$H$63:$H$73,1), 10)-1,0,2))          ) )</f>
        <v>0.4444444444</v>
      </c>
      <c r="F5" s="57">
        <f t="array" ref="F5">IF(  ISBLANK('Raw Data'!E5), 0, IF(     'Utility Functions'!$I$76=13,        INDEX('Utility Functions'!$Z$79:$Z$89, MATCH('Raw Data'!E5,'Utility Functions'!$Y$79:$Y$89, 0), 0),          FORECAST('Raw Data'!E5,OFFSET('Utility Functions'!$I$81, MIN(MATCH('Raw Data'!E5,'Utility Functions'!$H$81:$H$91,1),10)-1,0,2),OFFSET('Utility Functions'!$H$81, MIN(MATCH('Raw Data'!E5,'Utility Functions'!$H$81:$H$91,1), 10)-1,0,2))          ) )</f>
        <v>0.5714285714</v>
      </c>
      <c r="G5" s="57">
        <f t="array" ref="G5">IF(  ISBLANK('Raw Data'!F5), 0, IF(     'Utility Functions'!$I$94=13,        INDEX('Utility Functions'!$Z$97:$Z$107, MATCH('Raw Data'!F5,'Utility Functions'!$Y$97:$Y$107, 0), 0),          FORECAST('Raw Data'!F5,OFFSET('Utility Functions'!$I$99, MIN(MATCH('Raw Data'!F5,'Utility Functions'!$H$99:$H$109,1),10)-1,0,2),OFFSET('Utility Functions'!$H$99, MIN(MATCH('Raw Data'!F5,'Utility Functions'!$H$99:$H$109,1), 10)-1,0,2))          ) )</f>
        <v>0</v>
      </c>
      <c r="H5" s="57">
        <f t="array" ref="H5">IF(  ISBLANK('Raw Data'!G5), 0, IF(     'Utility Functions'!$I$112=13,        INDEX('Utility Functions'!$Z$115:$Z$125, MATCH('Raw Data'!G5,'Utility Functions'!$Y$115:$Y$125, 0), 0),          FORECAST('Raw Data'!G5,OFFSET('Utility Functions'!$I$117, MIN(MATCH('Raw Data'!G5,'Utility Functions'!$H$117:$H$127,1),10)-1,0,2),OFFSET('Utility Functions'!$H$117, MIN(MATCH('Raw Data'!G5,'Utility Functions'!$H$117:$H$127,1), 10)-1,0,2))          ) )</f>
        <v>1</v>
      </c>
      <c r="I5" s="57">
        <f t="array" ref="I5">IF(  ISBLANK('Raw Data'!H5), 0, IF(     'Utility Functions'!$I$130=13,        INDEX('Utility Functions'!$Z$133:$Z$143, MATCH('Raw Data'!H5,'Utility Functions'!$Y$133:$Y$143, 0), 0),          FORECAST('Raw Data'!H5,OFFSET('Utility Functions'!$I$135, MIN(MATCH('Raw Data'!H5,'Utility Functions'!$H$135:$H$145,1),10)-1,0,2),OFFSET('Utility Functions'!$H$135, MIN(MATCH('Raw Data'!H5,'Utility Functions'!$H$135:$H$145,1), 10)-1,0,2))          ) )</f>
        <v>1</v>
      </c>
      <c r="J5" s="57">
        <f t="shared" si="1"/>
        <v>3.515873016</v>
      </c>
    </row>
    <row r="6" ht="14.25" customHeight="1">
      <c r="B6" s="33" t="str">
        <f>'Raw Data'!A6</f>
        <v>Filter in bottom chamber, two chamber, screw in</v>
      </c>
      <c r="C6" s="57">
        <f t="array" ref="C6">IF(  ISBLANK('Raw Data'!B6), 0, IF(     'Utility Functions'!$I$22=13,        INDEX('Utility Functions'!$Z$25:$Z$35, MATCH('Raw Data'!B6,'Utility Functions'!$Y$25:$Y$35, 0), 0),          FORECAST('Raw Data'!B6,OFFSET('Utility Functions'!$I$27, MIN(MATCH('Raw Data'!B6,'Utility Functions'!$H$27:$H$37,1),10)-1,0,2),OFFSET('Utility Functions'!$H$27, MIN(MATCH('Raw Data'!B6,'Utility Functions'!$H$27:$H$37,1), 10)-1,0,2))          ) )</f>
        <v>0.75</v>
      </c>
      <c r="D6" s="57">
        <f t="array" ref="D6">IF(  ISBLANK('Raw Data'!C6), 0, IF(     'Utility Functions'!$I$40=13,        INDEX('Utility Functions'!$Z$43:$Z$53, MATCH('Raw Data'!C6,'Utility Functions'!$Y$43:$Y$53, 0), 0),          FORECAST('Raw Data'!C6,OFFSET('Utility Functions'!$I$45, MIN(MATCH('Raw Data'!C6,'Utility Functions'!$H$45:$H$55,1),10)-1,0,2),OFFSET('Utility Functions'!$H$45, MIN(MATCH('Raw Data'!C6,'Utility Functions'!$H$45:$H$55,1), 10)-1,0,2))          ) )</f>
        <v>0</v>
      </c>
      <c r="E6" s="57">
        <f t="array" ref="E6">IF(  ISBLANK('Raw Data'!D6), 0, IF(     'Utility Functions'!$I$58=13,        INDEX('Utility Functions'!$Z$61:$Z$71, MATCH('Raw Data'!D6,'Utility Functions'!$Y$61:$Y$71, 0), 0),          FORECAST('Raw Data'!D6,OFFSET('Utility Functions'!$I$63, MIN(MATCH('Raw Data'!D6,'Utility Functions'!$H$63:$H$73,1),10)-1,0,2),OFFSET('Utility Functions'!$H$63, MIN(MATCH('Raw Data'!D6,'Utility Functions'!$H$63:$H$73,1), 10)-1,0,2))          ) )</f>
        <v>0.6666666667</v>
      </c>
      <c r="F6" s="57">
        <f t="array" ref="F6">IF(  ISBLANK('Raw Data'!E6), 0, IF(     'Utility Functions'!$I$76=13,        INDEX('Utility Functions'!$Z$79:$Z$89, MATCH('Raw Data'!E6,'Utility Functions'!$Y$79:$Y$89, 0), 0),          FORECAST('Raw Data'!E6,OFFSET('Utility Functions'!$I$81, MIN(MATCH('Raw Data'!E6,'Utility Functions'!$H$81:$H$91,1),10)-1,0,2),OFFSET('Utility Functions'!$H$81, MIN(MATCH('Raw Data'!E6,'Utility Functions'!$H$81:$H$91,1), 10)-1,0,2))          ) )</f>
        <v>0.5714285714</v>
      </c>
      <c r="G6" s="57">
        <f t="array" ref="G6">IF(  ISBLANK('Raw Data'!F6), 0, IF(     'Utility Functions'!$I$94=13,        INDEX('Utility Functions'!$Z$97:$Z$107, MATCH('Raw Data'!F6,'Utility Functions'!$Y$97:$Y$107, 0), 0),          FORECAST('Raw Data'!F6,OFFSET('Utility Functions'!$I$99, MIN(MATCH('Raw Data'!F6,'Utility Functions'!$H$99:$H$109,1),10)-1,0,2),OFFSET('Utility Functions'!$H$99, MIN(MATCH('Raw Data'!F6,'Utility Functions'!$H$99:$H$109,1), 10)-1,0,2))          ) )</f>
        <v>0.6666666667</v>
      </c>
      <c r="H6" s="57">
        <f t="array" ref="H6">IF(  ISBLANK('Raw Data'!G6), 0, IF(     'Utility Functions'!$I$112=13,        INDEX('Utility Functions'!$Z$115:$Z$125, MATCH('Raw Data'!G6,'Utility Functions'!$Y$115:$Y$125, 0), 0),          FORECAST('Raw Data'!G6,OFFSET('Utility Functions'!$I$117, MIN(MATCH('Raw Data'!G6,'Utility Functions'!$H$117:$H$127,1),10)-1,0,2),OFFSET('Utility Functions'!$H$117, MIN(MATCH('Raw Data'!G6,'Utility Functions'!$H$117:$H$127,1), 10)-1,0,2))          ) )</f>
        <v>1</v>
      </c>
      <c r="I6" s="57">
        <f t="array" ref="I6">IF(  ISBLANK('Raw Data'!H6), 0, IF(     'Utility Functions'!$I$130=13,        INDEX('Utility Functions'!$Z$133:$Z$143, MATCH('Raw Data'!H6,'Utility Functions'!$Y$133:$Y$143, 0), 0),          FORECAST('Raw Data'!H6,OFFSET('Utility Functions'!$I$135, MIN(MATCH('Raw Data'!H6,'Utility Functions'!$H$135:$H$145,1),10)-1,0,2),OFFSET('Utility Functions'!$H$135, MIN(MATCH('Raw Data'!H6,'Utility Functions'!$H$135:$H$145,1), 10)-1,0,2))          ) )</f>
        <v>1</v>
      </c>
      <c r="J6" s="57">
        <f t="shared" si="1"/>
        <v>4.654761905</v>
      </c>
    </row>
    <row r="7" ht="14.25" customHeight="1">
      <c r="B7" s="33" t="str">
        <f>'Raw Data'!A7</f>
        <v>Single Chamber flat filter</v>
      </c>
      <c r="C7" s="57">
        <f t="array" ref="C7">IF(  ISBLANK('Raw Data'!B7), 0, IF(     'Utility Functions'!$I$22=13,        INDEX('Utility Functions'!$Z$25:$Z$35, MATCH('Raw Data'!B7,'Utility Functions'!$Y$25:$Y$35, 0), 0),          FORECAST('Raw Data'!B7,OFFSET('Utility Functions'!$I$27, MIN(MATCH('Raw Data'!B7,'Utility Functions'!$H$27:$H$37,1),10)-1,0,2),OFFSET('Utility Functions'!$H$27, MIN(MATCH('Raw Data'!B7,'Utility Functions'!$H$27:$H$37,1), 10)-1,0,2))          ) )</f>
        <v>0.25</v>
      </c>
      <c r="D7" s="57">
        <f t="array" ref="D7">IF(  ISBLANK('Raw Data'!C7), 0, IF(     'Utility Functions'!$I$40=13,        INDEX('Utility Functions'!$Z$43:$Z$53, MATCH('Raw Data'!C7,'Utility Functions'!$Y$43:$Y$53, 0), 0),          FORECAST('Raw Data'!C7,OFFSET('Utility Functions'!$I$45, MIN(MATCH('Raw Data'!C7,'Utility Functions'!$H$45:$H$55,1),10)-1,0,2),OFFSET('Utility Functions'!$H$45, MIN(MATCH('Raw Data'!C7,'Utility Functions'!$H$45:$H$55,1), 10)-1,0,2))          ) )</f>
        <v>1</v>
      </c>
      <c r="E7" s="57">
        <f t="array" ref="E7">IF(  ISBLANK('Raw Data'!D7), 0, IF(     'Utility Functions'!$I$58=13,        INDEX('Utility Functions'!$Z$61:$Z$71, MATCH('Raw Data'!D7,'Utility Functions'!$Y$61:$Y$71, 0), 0),          FORECAST('Raw Data'!D7,OFFSET('Utility Functions'!$I$63, MIN(MATCH('Raw Data'!D7,'Utility Functions'!$H$63:$H$73,1),10)-1,0,2),OFFSET('Utility Functions'!$H$63, MIN(MATCH('Raw Data'!D7,'Utility Functions'!$H$63:$H$73,1), 10)-1,0,2))          ) )</f>
        <v>1</v>
      </c>
      <c r="F7" s="57">
        <f t="array" ref="F7">IF(  ISBLANK('Raw Data'!E7), 0, IF(     'Utility Functions'!$I$76=13,        INDEX('Utility Functions'!$Z$79:$Z$89, MATCH('Raw Data'!E7,'Utility Functions'!$Y$79:$Y$89, 0), 0),          FORECAST('Raw Data'!E7,OFFSET('Utility Functions'!$I$81, MIN(MATCH('Raw Data'!E7,'Utility Functions'!$H$81:$H$91,1),10)-1,0,2),OFFSET('Utility Functions'!$H$81, MIN(MATCH('Raw Data'!E7,'Utility Functions'!$H$81:$H$91,1), 10)-1,0,2))          ) )</f>
        <v>1</v>
      </c>
      <c r="G7" s="57">
        <f t="array" ref="G7">IF(  ISBLANK('Raw Data'!F7), 0, IF(     'Utility Functions'!$I$94=13,        INDEX('Utility Functions'!$Z$97:$Z$107, MATCH('Raw Data'!F7,'Utility Functions'!$Y$97:$Y$107, 0), 0),          FORECAST('Raw Data'!F7,OFFSET('Utility Functions'!$I$99, MIN(MATCH('Raw Data'!F7,'Utility Functions'!$H$99:$H$109,1),10)-1,0,2),OFFSET('Utility Functions'!$H$99, MIN(MATCH('Raw Data'!F7,'Utility Functions'!$H$99:$H$109,1), 10)-1,0,2))          ) )</f>
        <v>1</v>
      </c>
      <c r="H7" s="57">
        <f t="array" ref="H7">IF(  ISBLANK('Raw Data'!G7), 0, IF(     'Utility Functions'!$I$112=13,        INDEX('Utility Functions'!$Z$115:$Z$125, MATCH('Raw Data'!G7,'Utility Functions'!$Y$115:$Y$125, 0), 0),          FORECAST('Raw Data'!G7,OFFSET('Utility Functions'!$I$117, MIN(MATCH('Raw Data'!G7,'Utility Functions'!$H$117:$H$127,1),10)-1,0,2),OFFSET('Utility Functions'!$H$117, MIN(MATCH('Raw Data'!G7,'Utility Functions'!$H$117:$H$127,1), 10)-1,0,2))          ) )</f>
        <v>0.3333333333</v>
      </c>
      <c r="I7" s="57">
        <f t="array" ref="I7">IF(  ISBLANK('Raw Data'!H7), 0, IF(     'Utility Functions'!$I$130=13,        INDEX('Utility Functions'!$Z$133:$Z$143, MATCH('Raw Data'!H7,'Utility Functions'!$Y$133:$Y$143, 0), 0),          FORECAST('Raw Data'!H7,OFFSET('Utility Functions'!$I$135, MIN(MATCH('Raw Data'!H7,'Utility Functions'!$H$135:$H$145,1),10)-1,0,2),OFFSET('Utility Functions'!$H$135, MIN(MATCH('Raw Data'!H7,'Utility Functions'!$H$135:$H$145,1), 10)-1,0,2))          ) )</f>
        <v>0</v>
      </c>
      <c r="J7" s="57">
        <f t="shared" si="1"/>
        <v>4.583333333</v>
      </c>
    </row>
    <row r="8" ht="14.25" customHeight="1">
      <c r="B8" s="33" t="str">
        <f>'Raw Data'!A8</f>
        <v>Single chamber, cone filter</v>
      </c>
      <c r="C8" s="57">
        <f t="array" ref="C8">IF(  ISBLANK('Raw Data'!B8), 0, IF(     'Utility Functions'!$I$22=13,        INDEX('Utility Functions'!$Z$25:$Z$35, MATCH('Raw Data'!B8,'Utility Functions'!$Y$25:$Y$35, 0), 0),          FORECAST('Raw Data'!B8,OFFSET('Utility Functions'!$I$27, MIN(MATCH('Raw Data'!B8,'Utility Functions'!$H$27:$H$37,1),10)-1,0,2),OFFSET('Utility Functions'!$H$27, MIN(MATCH('Raw Data'!B8,'Utility Functions'!$H$27:$H$37,1), 10)-1,0,2))          ) )</f>
        <v>0</v>
      </c>
      <c r="D8" s="57">
        <f t="array" ref="D8">IF(  ISBLANK('Raw Data'!C8), 0, IF(     'Utility Functions'!$I$40=13,        INDEX('Utility Functions'!$Z$43:$Z$53, MATCH('Raw Data'!C8,'Utility Functions'!$Y$43:$Y$53, 0), 0),          FORECAST('Raw Data'!C8,OFFSET('Utility Functions'!$I$45, MIN(MATCH('Raw Data'!C8,'Utility Functions'!$H$45:$H$55,1),10)-1,0,2),OFFSET('Utility Functions'!$H$45, MIN(MATCH('Raw Data'!C8,'Utility Functions'!$H$45:$H$55,1), 10)-1,0,2))          ) )</f>
        <v>0.7777777778</v>
      </c>
      <c r="E8" s="57">
        <f t="array" ref="E8">IF(  ISBLANK('Raw Data'!D8), 0, IF(     'Utility Functions'!$I$58=13,        INDEX('Utility Functions'!$Z$61:$Z$71, MATCH('Raw Data'!D8,'Utility Functions'!$Y$61:$Y$71, 0), 0),          FORECAST('Raw Data'!D8,OFFSET('Utility Functions'!$I$63, MIN(MATCH('Raw Data'!D8,'Utility Functions'!$H$63:$H$73,1),10)-1,0,2),OFFSET('Utility Functions'!$H$63, MIN(MATCH('Raw Data'!D8,'Utility Functions'!$H$63:$H$73,1), 10)-1,0,2))          ) )</f>
        <v>1</v>
      </c>
      <c r="F8" s="57">
        <f t="array" ref="F8">IF(  ISBLANK('Raw Data'!E8), 0, IF(     'Utility Functions'!$I$76=13,        INDEX('Utility Functions'!$Z$79:$Z$89, MATCH('Raw Data'!E8,'Utility Functions'!$Y$79:$Y$89, 0), 0),          FORECAST('Raw Data'!E8,OFFSET('Utility Functions'!$I$81, MIN(MATCH('Raw Data'!E8,'Utility Functions'!$H$81:$H$91,1),10)-1,0,2),OFFSET('Utility Functions'!$H$81, MIN(MATCH('Raw Data'!E8,'Utility Functions'!$H$81:$H$91,1), 10)-1,0,2))          ) )</f>
        <v>1</v>
      </c>
      <c r="G8" s="57">
        <f t="array" ref="G8">IF(  ISBLANK('Raw Data'!F8), 0, IF(     'Utility Functions'!$I$94=13,        INDEX('Utility Functions'!$Z$97:$Z$107, MATCH('Raw Data'!F8,'Utility Functions'!$Y$97:$Y$107, 0), 0),          FORECAST('Raw Data'!F8,OFFSET('Utility Functions'!$I$99, MIN(MATCH('Raw Data'!F8,'Utility Functions'!$H$99:$H$109,1),10)-1,0,2),OFFSET('Utility Functions'!$H$99, MIN(MATCH('Raw Data'!F8,'Utility Functions'!$H$99:$H$109,1), 10)-1,0,2))          ) )</f>
        <v>1</v>
      </c>
      <c r="H8" s="57">
        <f t="array" ref="H8">IF(  ISBLANK('Raw Data'!G8), 0, IF(     'Utility Functions'!$I$112=13,        INDEX('Utility Functions'!$Z$115:$Z$125, MATCH('Raw Data'!G8,'Utility Functions'!$Y$115:$Y$125, 0), 0),          FORECAST('Raw Data'!G8,OFFSET('Utility Functions'!$I$117, MIN(MATCH('Raw Data'!G8,'Utility Functions'!$H$117:$H$127,1),10)-1,0,2),OFFSET('Utility Functions'!$H$117, MIN(MATCH('Raw Data'!G8,'Utility Functions'!$H$117:$H$127,1), 10)-1,0,2))          ) )</f>
        <v>0</v>
      </c>
      <c r="I8" s="57">
        <f t="array" ref="I8">IF(  ISBLANK('Raw Data'!H8), 0, IF(     'Utility Functions'!$I$130=13,        INDEX('Utility Functions'!$Z$133:$Z$143, MATCH('Raw Data'!H8,'Utility Functions'!$Y$133:$Y$143, 0), 0),          FORECAST('Raw Data'!H8,OFFSET('Utility Functions'!$I$135, MIN(MATCH('Raw Data'!H8,'Utility Functions'!$H$135:$H$145,1),10)-1,0,2),OFFSET('Utility Functions'!$H$135, MIN(MATCH('Raw Data'!H8,'Utility Functions'!$H$135:$H$145,1), 10)-1,0,2))          ) )</f>
        <v>1</v>
      </c>
      <c r="J8" s="57">
        <f t="shared" si="1"/>
        <v>4.777777778</v>
      </c>
    </row>
    <row r="9" ht="14.25" customHeight="1"/>
    <row r="10" ht="15.0" customHeight="1">
      <c r="F10" s="5" t="s">
        <v>35</v>
      </c>
      <c r="G10" s="6"/>
      <c r="H10" s="6"/>
      <c r="I10" s="7"/>
    </row>
    <row r="11" ht="14.25" customHeight="1">
      <c r="F11" s="9"/>
      <c r="I11" s="10"/>
    </row>
    <row r="12" ht="14.25" customHeight="1">
      <c r="F12" s="9"/>
      <c r="I12" s="10"/>
    </row>
    <row r="13" ht="14.25" customHeight="1">
      <c r="F13" s="9"/>
      <c r="I13" s="10"/>
    </row>
    <row r="14" ht="14.25" customHeight="1">
      <c r="F14" s="9"/>
      <c r="I14" s="10"/>
    </row>
    <row r="15" ht="14.25" customHeight="1">
      <c r="F15" s="9"/>
      <c r="I15" s="10"/>
    </row>
    <row r="16" ht="14.25" customHeight="1">
      <c r="F16" s="9"/>
      <c r="I16" s="10"/>
    </row>
    <row r="17" ht="14.25" customHeight="1">
      <c r="F17" s="9"/>
      <c r="I17" s="10"/>
    </row>
    <row r="18" ht="14.25" customHeight="1">
      <c r="F18" s="11"/>
      <c r="G18" s="12"/>
      <c r="H18" s="12"/>
      <c r="I18" s="13"/>
    </row>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sheetData>
  <mergeCells count="2">
    <mergeCell ref="C1:I1"/>
    <mergeCell ref="F10:I18"/>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9.14"/>
    <col customWidth="1" min="2" max="2" width="47.0"/>
    <col customWidth="1" min="3" max="7" width="12.14"/>
    <col customWidth="1" min="8" max="8" width="19.0"/>
    <col customWidth="1" min="9" max="9" width="16.0"/>
    <col customWidth="1" min="10" max="10" width="12.14"/>
    <col customWidth="1" min="11" max="13" width="8.71"/>
  </cols>
  <sheetData>
    <row r="1" ht="14.25" customHeight="1">
      <c r="A1" s="40"/>
      <c r="C1" s="58" t="s">
        <v>36</v>
      </c>
      <c r="D1" s="23"/>
      <c r="E1" s="23"/>
      <c r="F1" s="23"/>
      <c r="G1" s="23"/>
      <c r="H1" s="23"/>
      <c r="I1" s="27"/>
    </row>
    <row r="2" ht="14.25" customHeight="1">
      <c r="A2" s="14" t="s">
        <v>37</v>
      </c>
      <c r="B2" s="14" t="s">
        <v>5</v>
      </c>
      <c r="C2" s="14" t="str">
        <f>IF(ISBLANK('Raw Data'!B2),"",'Raw Data'!B2)</f>
        <v>Sterilization</v>
      </c>
      <c r="D2" s="14" t="str">
        <f>IF(ISBLANK('Raw Data'!C2),"",'Raw Data'!C2)</f>
        <v>Durability</v>
      </c>
      <c r="E2" s="14" t="str">
        <f>IF(ISBLANK('Raw Data'!D2),"",'Raw Data'!D2)</f>
        <v>Ease of Assembly</v>
      </c>
      <c r="F2" s="14" t="str">
        <f>IF(ISBLANK('Raw Data'!E2),"",'Raw Data'!E2)</f>
        <v>Leakage</v>
      </c>
      <c r="G2" s="14" t="str">
        <f>IF(ISBLANK('Raw Data'!F2),"",'Raw Data'!F2)</f>
        <v>Flow Control</v>
      </c>
      <c r="H2" s="14" t="str">
        <f>IF(ISBLANK('Raw Data'!G2),"",'Raw Data'!G2)</f>
        <v>Filter Compatability</v>
      </c>
      <c r="I2" s="14" t="str">
        <f>IF(ISBLANK('Raw Data'!H2),"",'Raw Data'!H2)</f>
        <v>Filter Surface Area</v>
      </c>
      <c r="J2" s="14" t="s">
        <v>32</v>
      </c>
    </row>
    <row r="3" ht="14.25" customHeight="1">
      <c r="A3" s="38">
        <f t="shared" ref="A3:A8" si="1">RANK(J3,J$3:J$8)</f>
        <v>5</v>
      </c>
      <c r="B3" s="33" t="str">
        <f>'Raw Data'!A3</f>
        <v>Filter in spike, two chamber, clamp in</v>
      </c>
      <c r="C3" s="57">
        <f>C$9*'Calc - Scored'!C3</f>
        <v>11.25</v>
      </c>
      <c r="D3" s="57">
        <f>D$9*'Calc - Scored'!D3</f>
        <v>4.444444444</v>
      </c>
      <c r="E3" s="57">
        <f>E$9*'Calc - Scored'!E3</f>
        <v>0</v>
      </c>
      <c r="F3" s="57">
        <f>F$9*'Calc - Scored'!F3</f>
        <v>0</v>
      </c>
      <c r="G3" s="57">
        <f>G$9*'Calc - Scored'!G3</f>
        <v>0</v>
      </c>
      <c r="H3" s="57">
        <f>H$9*'Calc - Scored'!H3</f>
        <v>20</v>
      </c>
      <c r="I3" s="57">
        <f>I$9*'Calc - Scored'!I3</f>
        <v>20</v>
      </c>
      <c r="J3" s="57">
        <f t="shared" ref="J3:J8" si="2">SUM(C3:I3)</f>
        <v>55.69444444</v>
      </c>
    </row>
    <row r="4" ht="14.25" customHeight="1">
      <c r="A4" s="38">
        <f t="shared" si="1"/>
        <v>2</v>
      </c>
      <c r="B4" s="33" t="str">
        <f>'Raw Data'!A4</f>
        <v>Filter in bottom chamber, two chamber, clamp in</v>
      </c>
      <c r="C4" s="57">
        <f>C$9*'Calc - Scored'!C4</f>
        <v>15</v>
      </c>
      <c r="D4" s="57">
        <f>D$9*'Calc - Scored'!D4</f>
        <v>6.666666667</v>
      </c>
      <c r="E4" s="57">
        <f>E$9*'Calc - Scored'!E4</f>
        <v>3.333333333</v>
      </c>
      <c r="F4" s="57">
        <f>F$9*'Calc - Scored'!F4</f>
        <v>0</v>
      </c>
      <c r="G4" s="57">
        <f>G$9*'Calc - Scored'!G4</f>
        <v>6.666666667</v>
      </c>
      <c r="H4" s="57">
        <f>H$9*'Calc - Scored'!H4</f>
        <v>20</v>
      </c>
      <c r="I4" s="57">
        <f>I$9*'Calc - Scored'!I4</f>
        <v>20</v>
      </c>
      <c r="J4" s="57">
        <f t="shared" si="2"/>
        <v>71.66666667</v>
      </c>
    </row>
    <row r="5" ht="14.25" customHeight="1">
      <c r="A5" s="38">
        <f t="shared" si="1"/>
        <v>4</v>
      </c>
      <c r="B5" s="33" t="str">
        <f>'Raw Data'!A5</f>
        <v>Filter in spike, two chamber, screw in</v>
      </c>
      <c r="C5" s="57">
        <f>C$9*'Calc - Scored'!C5</f>
        <v>7.5</v>
      </c>
      <c r="D5" s="57">
        <f>D$9*'Calc - Scored'!D5</f>
        <v>0</v>
      </c>
      <c r="E5" s="57">
        <f>E$9*'Calc - Scored'!E5</f>
        <v>6.666666667</v>
      </c>
      <c r="F5" s="57">
        <f>F$9*'Calc - Scored'!F5</f>
        <v>5.714285714</v>
      </c>
      <c r="G5" s="57">
        <f>G$9*'Calc - Scored'!G5</f>
        <v>0</v>
      </c>
      <c r="H5" s="57">
        <f>H$9*'Calc - Scored'!H5</f>
        <v>20</v>
      </c>
      <c r="I5" s="57">
        <f>I$9*'Calc - Scored'!I5</f>
        <v>20</v>
      </c>
      <c r="J5" s="57">
        <f t="shared" si="2"/>
        <v>59.88095238</v>
      </c>
    </row>
    <row r="6" ht="14.25" customHeight="1">
      <c r="A6" s="38">
        <f t="shared" si="1"/>
        <v>1</v>
      </c>
      <c r="B6" s="33" t="str">
        <f>'Raw Data'!A6</f>
        <v>Filter in bottom chamber, two chamber, screw in</v>
      </c>
      <c r="C6" s="57">
        <f>C$9*'Calc - Scored'!C6</f>
        <v>11.25</v>
      </c>
      <c r="D6" s="57">
        <f>D$9*'Calc - Scored'!D6</f>
        <v>0</v>
      </c>
      <c r="E6" s="57">
        <f>E$9*'Calc - Scored'!E6</f>
        <v>10</v>
      </c>
      <c r="F6" s="57">
        <f>F$9*'Calc - Scored'!F6</f>
        <v>5.714285714</v>
      </c>
      <c r="G6" s="57">
        <f>G$9*'Calc - Scored'!G6</f>
        <v>6.666666667</v>
      </c>
      <c r="H6" s="57">
        <f>H$9*'Calc - Scored'!H6</f>
        <v>20</v>
      </c>
      <c r="I6" s="57">
        <f>I$9*'Calc - Scored'!I6</f>
        <v>20</v>
      </c>
      <c r="J6" s="57">
        <f t="shared" si="2"/>
        <v>73.63095238</v>
      </c>
    </row>
    <row r="7" ht="14.25" customHeight="1">
      <c r="A7" s="38">
        <f t="shared" si="1"/>
        <v>6</v>
      </c>
      <c r="B7" s="33" t="str">
        <f>'Raw Data'!A7</f>
        <v>Single Chamber flat filter</v>
      </c>
      <c r="C7" s="57">
        <f>C$9*'Calc - Scored'!C7</f>
        <v>3.75</v>
      </c>
      <c r="D7" s="57">
        <f>D$9*'Calc - Scored'!D7</f>
        <v>10</v>
      </c>
      <c r="E7" s="57">
        <f>E$9*'Calc - Scored'!E7</f>
        <v>15</v>
      </c>
      <c r="F7" s="57">
        <f>F$9*'Calc - Scored'!F7</f>
        <v>10</v>
      </c>
      <c r="G7" s="57">
        <f>G$9*'Calc - Scored'!G7</f>
        <v>10</v>
      </c>
      <c r="H7" s="57">
        <f>H$9*'Calc - Scored'!H7</f>
        <v>6.666666667</v>
      </c>
      <c r="I7" s="57">
        <f>I$9*'Calc - Scored'!I7</f>
        <v>0</v>
      </c>
      <c r="J7" s="57">
        <f t="shared" si="2"/>
        <v>55.41666667</v>
      </c>
    </row>
    <row r="8" ht="14.25" customHeight="1">
      <c r="A8" s="38">
        <f t="shared" si="1"/>
        <v>3</v>
      </c>
      <c r="B8" s="33" t="str">
        <f>'Raw Data'!A8</f>
        <v>Single chamber, cone filter</v>
      </c>
      <c r="C8" s="57">
        <f>C$9*'Calc - Scored'!C8</f>
        <v>0</v>
      </c>
      <c r="D8" s="57">
        <f>D$9*'Calc - Scored'!D8</f>
        <v>7.777777778</v>
      </c>
      <c r="E8" s="57">
        <f>E$9*'Calc - Scored'!E8</f>
        <v>15</v>
      </c>
      <c r="F8" s="57">
        <f>F$9*'Calc - Scored'!F8</f>
        <v>10</v>
      </c>
      <c r="G8" s="57">
        <f>G$9*'Calc - Scored'!G8</f>
        <v>10</v>
      </c>
      <c r="H8" s="57">
        <f>H$9*'Calc - Scored'!H8</f>
        <v>0</v>
      </c>
      <c r="I8" s="57">
        <f>I$9*'Calc - Scored'!I8</f>
        <v>20</v>
      </c>
      <c r="J8" s="57">
        <f t="shared" si="2"/>
        <v>62.77777778</v>
      </c>
    </row>
    <row r="9" ht="14.25" customHeight="1">
      <c r="A9" s="40"/>
      <c r="B9" s="2" t="s">
        <v>38</v>
      </c>
      <c r="C9" s="59">
        <f>Evaluation!DG6</f>
        <v>15</v>
      </c>
      <c r="D9" s="59">
        <f>Evaluation!DG7</f>
        <v>10</v>
      </c>
      <c r="E9" s="59">
        <f>Evaluation!DG8</f>
        <v>15</v>
      </c>
      <c r="F9" s="59">
        <f>Evaluation!DG9</f>
        <v>10</v>
      </c>
      <c r="G9" s="59">
        <f>Evaluation!DG10</f>
        <v>10</v>
      </c>
      <c r="H9" s="59">
        <f>Evaluation!DG11</f>
        <v>20</v>
      </c>
      <c r="I9" s="59">
        <f>Evaluation!DG12</f>
        <v>20</v>
      </c>
    </row>
    <row r="10" ht="14.25" customHeight="1">
      <c r="A10" s="40"/>
      <c r="B10" s="2"/>
    </row>
    <row r="11" ht="15.0" customHeight="1">
      <c r="A11" s="40"/>
      <c r="B11" s="2"/>
    </row>
    <row r="12" ht="15.0" customHeight="1">
      <c r="A12" s="40"/>
      <c r="B12" s="2"/>
      <c r="H12" s="5" t="s">
        <v>39</v>
      </c>
      <c r="I12" s="7"/>
    </row>
    <row r="13" ht="14.25" customHeight="1">
      <c r="A13" s="40"/>
      <c r="B13" s="2"/>
      <c r="H13" s="9"/>
      <c r="I13" s="10"/>
    </row>
    <row r="14" ht="14.25" customHeight="1">
      <c r="A14" s="40"/>
      <c r="B14" s="2"/>
      <c r="H14" s="9"/>
      <c r="I14" s="10"/>
    </row>
    <row r="15" ht="14.25" customHeight="1">
      <c r="A15" s="40"/>
      <c r="B15" s="2"/>
      <c r="H15" s="9"/>
      <c r="I15" s="10"/>
    </row>
    <row r="16" ht="14.25" customHeight="1">
      <c r="A16" s="40"/>
      <c r="B16" s="2"/>
      <c r="H16" s="9"/>
      <c r="I16" s="10"/>
    </row>
    <row r="17" ht="14.25" customHeight="1">
      <c r="A17" s="40"/>
      <c r="H17" s="9"/>
      <c r="I17" s="10"/>
    </row>
    <row r="18" ht="14.25" customHeight="1">
      <c r="A18" s="40"/>
      <c r="H18" s="9"/>
      <c r="I18" s="10"/>
    </row>
    <row r="19" ht="14.25" customHeight="1">
      <c r="A19" s="40"/>
      <c r="H19" s="9"/>
      <c r="I19" s="10"/>
    </row>
    <row r="20" ht="14.25" customHeight="1">
      <c r="A20" s="40"/>
      <c r="H20" s="11"/>
      <c r="I20" s="13"/>
    </row>
    <row r="21" ht="14.25" customHeight="1">
      <c r="A21" s="40"/>
    </row>
    <row r="22" ht="14.25" customHeight="1">
      <c r="A22" s="40"/>
    </row>
    <row r="23" ht="14.25" customHeight="1">
      <c r="A23" s="40"/>
    </row>
    <row r="24" ht="14.25" customHeight="1">
      <c r="A24" s="40"/>
    </row>
    <row r="25" ht="14.25" customHeight="1">
      <c r="A25" s="40"/>
    </row>
    <row r="26" ht="14.25" customHeight="1">
      <c r="A26" s="40"/>
    </row>
    <row r="27" ht="14.25" customHeight="1">
      <c r="A27" s="40"/>
    </row>
    <row r="28" ht="14.25" customHeight="1">
      <c r="A28" s="40"/>
    </row>
    <row r="29" ht="14.25" customHeight="1">
      <c r="A29" s="40"/>
    </row>
    <row r="30" ht="14.25" customHeight="1">
      <c r="A30" s="40"/>
    </row>
    <row r="31" ht="14.25" customHeight="1">
      <c r="A31" s="40"/>
    </row>
    <row r="32" ht="14.25" customHeight="1">
      <c r="A32" s="40"/>
    </row>
    <row r="33" ht="14.25" customHeight="1">
      <c r="A33" s="40"/>
    </row>
    <row r="34" ht="14.25" customHeight="1">
      <c r="A34" s="40"/>
    </row>
    <row r="35" ht="14.25" customHeight="1">
      <c r="A35" s="40"/>
    </row>
    <row r="36" ht="14.25" customHeight="1">
      <c r="A36" s="40"/>
    </row>
    <row r="37" ht="14.25" customHeight="1">
      <c r="A37" s="40"/>
    </row>
    <row r="38" ht="14.25" customHeight="1">
      <c r="A38" s="40"/>
    </row>
    <row r="39" ht="14.25" customHeight="1">
      <c r="A39" s="40"/>
    </row>
    <row r="40" ht="14.25" customHeight="1">
      <c r="A40" s="40"/>
    </row>
    <row r="41" ht="14.25" customHeight="1">
      <c r="A41" s="40"/>
    </row>
    <row r="42" ht="14.25" customHeight="1">
      <c r="A42" s="40"/>
    </row>
    <row r="43" ht="14.25" customHeight="1">
      <c r="A43" s="40"/>
    </row>
    <row r="44" ht="14.25" customHeight="1">
      <c r="A44" s="40"/>
    </row>
    <row r="45" ht="14.25" customHeight="1">
      <c r="A45" s="40"/>
    </row>
    <row r="46" ht="14.25" customHeight="1">
      <c r="A46" s="40"/>
    </row>
    <row r="47" ht="14.25" customHeight="1">
      <c r="A47" s="40"/>
    </row>
    <row r="48" ht="14.25" customHeight="1">
      <c r="A48" s="40"/>
    </row>
    <row r="49" ht="14.25" customHeight="1">
      <c r="A49" s="40"/>
    </row>
    <row r="50" ht="14.25" customHeight="1">
      <c r="A50" s="40"/>
    </row>
    <row r="51" ht="14.25" customHeight="1">
      <c r="A51" s="40"/>
    </row>
    <row r="52" ht="14.25" customHeight="1">
      <c r="A52" s="40"/>
    </row>
    <row r="53" ht="14.25" customHeight="1">
      <c r="A53" s="40"/>
    </row>
    <row r="54" ht="14.25" customHeight="1">
      <c r="A54" s="40"/>
    </row>
    <row r="55" ht="14.25" customHeight="1">
      <c r="A55" s="40"/>
    </row>
    <row r="56" ht="14.25" customHeight="1">
      <c r="A56" s="40"/>
    </row>
    <row r="57" ht="14.25" customHeight="1">
      <c r="A57" s="40"/>
    </row>
    <row r="58" ht="14.25" customHeight="1">
      <c r="A58" s="40"/>
    </row>
    <row r="59" ht="14.25" customHeight="1">
      <c r="A59" s="40"/>
    </row>
    <row r="60" ht="14.25" customHeight="1">
      <c r="A60" s="40"/>
    </row>
    <row r="61" ht="14.25" customHeight="1">
      <c r="A61" s="40"/>
    </row>
    <row r="62" ht="14.25" customHeight="1">
      <c r="A62" s="40"/>
    </row>
    <row r="63" ht="14.25" customHeight="1">
      <c r="A63" s="40"/>
    </row>
    <row r="64" ht="14.25" customHeight="1">
      <c r="A64" s="40"/>
    </row>
    <row r="65" ht="14.25" customHeight="1">
      <c r="A65" s="40"/>
    </row>
    <row r="66" ht="14.25" customHeight="1">
      <c r="A66" s="40"/>
    </row>
    <row r="67" ht="14.25" customHeight="1">
      <c r="A67" s="40"/>
    </row>
    <row r="68" ht="14.25" customHeight="1">
      <c r="A68" s="40"/>
    </row>
    <row r="69" ht="14.25" customHeight="1">
      <c r="A69" s="40"/>
    </row>
    <row r="70" ht="14.25" customHeight="1">
      <c r="A70" s="40"/>
    </row>
    <row r="71" ht="14.25" customHeight="1">
      <c r="A71" s="40"/>
    </row>
    <row r="72" ht="14.25" customHeight="1">
      <c r="A72" s="40"/>
    </row>
    <row r="73" ht="14.25" customHeight="1">
      <c r="A73" s="40"/>
    </row>
    <row r="74" ht="14.25" customHeight="1">
      <c r="A74" s="40"/>
    </row>
    <row r="75" ht="14.25" customHeight="1">
      <c r="A75" s="40"/>
    </row>
    <row r="76" ht="14.25" customHeight="1">
      <c r="A76" s="40"/>
    </row>
    <row r="77" ht="14.25" customHeight="1">
      <c r="A77" s="40"/>
    </row>
    <row r="78" ht="14.25" customHeight="1">
      <c r="A78" s="40"/>
    </row>
    <row r="79" ht="14.25" customHeight="1">
      <c r="A79" s="40"/>
    </row>
    <row r="80" ht="14.25" customHeight="1">
      <c r="A80" s="40"/>
    </row>
    <row r="81" ht="14.25" customHeight="1">
      <c r="A81" s="40"/>
    </row>
    <row r="82" ht="14.25" customHeight="1">
      <c r="A82" s="40"/>
    </row>
    <row r="83" ht="14.25" customHeight="1">
      <c r="A83" s="40"/>
    </row>
    <row r="84" ht="14.25" customHeight="1">
      <c r="A84" s="40"/>
    </row>
    <row r="85" ht="14.25" customHeight="1">
      <c r="A85" s="40"/>
    </row>
    <row r="86" ht="14.25" customHeight="1">
      <c r="A86" s="40"/>
    </row>
    <row r="87" ht="14.25" customHeight="1">
      <c r="A87" s="40"/>
    </row>
    <row r="88" ht="14.25" customHeight="1">
      <c r="A88" s="40"/>
    </row>
    <row r="89" ht="14.25" customHeight="1">
      <c r="A89" s="40"/>
    </row>
    <row r="90" ht="14.25" customHeight="1">
      <c r="A90" s="40"/>
    </row>
    <row r="91" ht="14.25" customHeight="1">
      <c r="A91" s="40"/>
    </row>
    <row r="92" ht="14.25" customHeight="1">
      <c r="A92" s="40"/>
    </row>
    <row r="93" ht="14.25" customHeight="1">
      <c r="A93" s="40"/>
    </row>
    <row r="94" ht="14.25" customHeight="1">
      <c r="A94" s="40"/>
    </row>
    <row r="95" ht="14.25" customHeight="1">
      <c r="A95" s="40"/>
    </row>
    <row r="96" ht="14.25" customHeight="1">
      <c r="A96" s="40"/>
    </row>
    <row r="97" ht="14.25" customHeight="1">
      <c r="A97" s="40"/>
    </row>
    <row r="98" ht="14.25" customHeight="1">
      <c r="A98" s="40"/>
    </row>
    <row r="99" ht="14.25" customHeight="1">
      <c r="A99" s="40"/>
    </row>
    <row r="100" ht="14.25" customHeight="1">
      <c r="A100" s="40"/>
    </row>
    <row r="101" ht="14.25" customHeight="1">
      <c r="A101" s="40"/>
    </row>
    <row r="102" ht="14.25" customHeight="1">
      <c r="A102" s="40"/>
    </row>
    <row r="103" ht="14.25" customHeight="1">
      <c r="A103" s="40"/>
    </row>
    <row r="104" ht="14.25" customHeight="1">
      <c r="A104" s="40"/>
    </row>
    <row r="105" ht="14.25" customHeight="1">
      <c r="A105" s="40"/>
    </row>
    <row r="106" ht="14.25" customHeight="1">
      <c r="A106" s="40"/>
    </row>
    <row r="107" ht="14.25" customHeight="1">
      <c r="A107" s="40"/>
    </row>
    <row r="108" ht="14.25" customHeight="1">
      <c r="A108" s="40"/>
    </row>
    <row r="109" ht="14.25" customHeight="1">
      <c r="A109" s="40"/>
    </row>
    <row r="110" ht="14.25" customHeight="1">
      <c r="A110" s="40"/>
    </row>
    <row r="111" ht="14.25" customHeight="1">
      <c r="A111" s="40"/>
    </row>
    <row r="112" ht="14.25" customHeight="1">
      <c r="A112" s="40"/>
    </row>
    <row r="113" ht="14.25" customHeight="1">
      <c r="A113" s="40"/>
    </row>
    <row r="114" ht="14.25" customHeight="1">
      <c r="A114" s="40"/>
    </row>
    <row r="115" ht="14.25" customHeight="1">
      <c r="A115" s="40"/>
    </row>
    <row r="116" ht="14.25" customHeight="1">
      <c r="A116" s="40"/>
    </row>
    <row r="117" ht="14.25" customHeight="1">
      <c r="A117" s="40"/>
    </row>
    <row r="118" ht="14.25" customHeight="1">
      <c r="A118" s="40"/>
    </row>
    <row r="119" ht="14.25" customHeight="1">
      <c r="A119" s="40"/>
    </row>
    <row r="120" ht="14.25" customHeight="1">
      <c r="A120" s="40"/>
    </row>
    <row r="121" ht="14.25" customHeight="1">
      <c r="A121" s="40"/>
    </row>
    <row r="122" ht="14.25" customHeight="1">
      <c r="A122" s="40"/>
    </row>
    <row r="123" ht="14.25" customHeight="1">
      <c r="A123" s="40"/>
    </row>
    <row r="124" ht="14.25" customHeight="1">
      <c r="A124" s="40"/>
    </row>
    <row r="125" ht="14.25" customHeight="1">
      <c r="A125" s="40"/>
    </row>
    <row r="126" ht="14.25" customHeight="1">
      <c r="A126" s="40"/>
    </row>
    <row r="127" ht="14.25" customHeight="1">
      <c r="A127" s="40"/>
    </row>
    <row r="128" ht="14.25" customHeight="1">
      <c r="A128" s="40"/>
    </row>
    <row r="129" ht="14.25" customHeight="1">
      <c r="A129" s="40"/>
    </row>
    <row r="130" ht="14.25" customHeight="1">
      <c r="A130" s="40"/>
    </row>
    <row r="131" ht="14.25" customHeight="1">
      <c r="A131" s="40"/>
    </row>
    <row r="132" ht="14.25" customHeight="1">
      <c r="A132" s="40"/>
    </row>
    <row r="133" ht="14.25" customHeight="1">
      <c r="A133" s="40"/>
    </row>
    <row r="134" ht="14.25" customHeight="1">
      <c r="A134" s="40"/>
    </row>
    <row r="135" ht="14.25" customHeight="1">
      <c r="A135" s="40"/>
    </row>
    <row r="136" ht="14.25" customHeight="1">
      <c r="A136" s="40"/>
    </row>
    <row r="137" ht="14.25" customHeight="1">
      <c r="A137" s="40"/>
    </row>
    <row r="138" ht="14.25" customHeight="1">
      <c r="A138" s="40"/>
    </row>
    <row r="139" ht="14.25" customHeight="1">
      <c r="A139" s="40"/>
    </row>
    <row r="140" ht="14.25" customHeight="1">
      <c r="A140" s="40"/>
    </row>
    <row r="141" ht="14.25" customHeight="1">
      <c r="A141" s="40"/>
    </row>
    <row r="142" ht="14.25" customHeight="1">
      <c r="A142" s="40"/>
    </row>
    <row r="143" ht="14.25" customHeight="1">
      <c r="A143" s="40"/>
    </row>
    <row r="144" ht="14.25" customHeight="1">
      <c r="A144" s="40"/>
    </row>
    <row r="145" ht="14.25" customHeight="1">
      <c r="A145" s="40"/>
    </row>
    <row r="146" ht="14.25" customHeight="1">
      <c r="A146" s="40"/>
    </row>
    <row r="147" ht="14.25" customHeight="1">
      <c r="A147" s="40"/>
    </row>
    <row r="148" ht="14.25" customHeight="1">
      <c r="A148" s="40"/>
    </row>
    <row r="149" ht="14.25" customHeight="1">
      <c r="A149" s="40"/>
    </row>
    <row r="150" ht="14.25" customHeight="1">
      <c r="A150" s="40"/>
    </row>
    <row r="151" ht="14.25" customHeight="1">
      <c r="A151" s="40"/>
    </row>
    <row r="152" ht="14.25" customHeight="1">
      <c r="A152" s="40"/>
    </row>
    <row r="153" ht="14.25" customHeight="1">
      <c r="A153" s="40"/>
    </row>
    <row r="154" ht="14.25" customHeight="1">
      <c r="A154" s="40"/>
    </row>
    <row r="155" ht="14.25" customHeight="1">
      <c r="A155" s="40"/>
    </row>
    <row r="156" ht="14.25" customHeight="1">
      <c r="A156" s="40"/>
    </row>
    <row r="157" ht="14.25" customHeight="1">
      <c r="A157" s="40"/>
    </row>
    <row r="158" ht="14.25" customHeight="1">
      <c r="A158" s="40"/>
    </row>
    <row r="159" ht="14.25" customHeight="1">
      <c r="A159" s="40"/>
    </row>
    <row r="160" ht="14.25" customHeight="1">
      <c r="A160" s="40"/>
    </row>
    <row r="161" ht="14.25" customHeight="1">
      <c r="A161" s="40"/>
    </row>
    <row r="162" ht="14.25" customHeight="1">
      <c r="A162" s="40"/>
    </row>
    <row r="163" ht="14.25" customHeight="1">
      <c r="A163" s="40"/>
    </row>
    <row r="164" ht="14.25" customHeight="1">
      <c r="A164" s="40"/>
    </row>
    <row r="165" ht="14.25" customHeight="1">
      <c r="A165" s="40"/>
    </row>
    <row r="166" ht="14.25" customHeight="1">
      <c r="A166" s="40"/>
    </row>
    <row r="167" ht="14.25" customHeight="1">
      <c r="A167" s="40"/>
    </row>
    <row r="168" ht="14.25" customHeight="1">
      <c r="A168" s="40"/>
    </row>
    <row r="169" ht="14.25" customHeight="1">
      <c r="A169" s="40"/>
    </row>
    <row r="170" ht="14.25" customHeight="1">
      <c r="A170" s="40"/>
    </row>
    <row r="171" ht="14.25" customHeight="1">
      <c r="A171" s="40"/>
    </row>
    <row r="172" ht="14.25" customHeight="1">
      <c r="A172" s="40"/>
    </row>
    <row r="173" ht="14.25" customHeight="1">
      <c r="A173" s="40"/>
    </row>
    <row r="174" ht="14.25" customHeight="1">
      <c r="A174" s="40"/>
    </row>
    <row r="175" ht="14.25" customHeight="1">
      <c r="A175" s="40"/>
    </row>
    <row r="176" ht="14.25" customHeight="1">
      <c r="A176" s="40"/>
    </row>
    <row r="177" ht="14.25" customHeight="1">
      <c r="A177" s="40"/>
    </row>
    <row r="178" ht="14.25" customHeight="1">
      <c r="A178" s="40"/>
    </row>
    <row r="179" ht="14.25" customHeight="1">
      <c r="A179" s="40"/>
    </row>
    <row r="180" ht="14.25" customHeight="1">
      <c r="A180" s="40"/>
    </row>
    <row r="181" ht="14.25" customHeight="1">
      <c r="A181" s="40"/>
    </row>
    <row r="182" ht="14.25" customHeight="1">
      <c r="A182" s="40"/>
    </row>
    <row r="183" ht="14.25" customHeight="1">
      <c r="A183" s="40"/>
    </row>
    <row r="184" ht="14.25" customHeight="1">
      <c r="A184" s="40"/>
    </row>
    <row r="185" ht="14.25" customHeight="1">
      <c r="A185" s="40"/>
    </row>
    <row r="186" ht="14.25" customHeight="1">
      <c r="A186" s="40"/>
    </row>
    <row r="187" ht="14.25" customHeight="1">
      <c r="A187" s="40"/>
    </row>
    <row r="188" ht="14.25" customHeight="1">
      <c r="A188" s="40"/>
    </row>
    <row r="189" ht="14.25" customHeight="1">
      <c r="A189" s="40"/>
    </row>
    <row r="190" ht="14.25" customHeight="1">
      <c r="A190" s="40"/>
    </row>
    <row r="191" ht="14.25" customHeight="1">
      <c r="A191" s="40"/>
    </row>
    <row r="192" ht="14.25" customHeight="1">
      <c r="A192" s="40"/>
    </row>
    <row r="193" ht="14.25" customHeight="1">
      <c r="A193" s="40"/>
    </row>
    <row r="194" ht="14.25" customHeight="1">
      <c r="A194" s="40"/>
    </row>
    <row r="195" ht="14.25" customHeight="1">
      <c r="A195" s="40"/>
    </row>
    <row r="196" ht="14.25" customHeight="1">
      <c r="A196" s="40"/>
    </row>
    <row r="197" ht="14.25" customHeight="1">
      <c r="A197" s="40"/>
    </row>
    <row r="198" ht="14.25" customHeight="1">
      <c r="A198" s="40"/>
    </row>
    <row r="199" ht="14.25" customHeight="1">
      <c r="A199" s="40"/>
    </row>
    <row r="200" ht="14.25" customHeight="1">
      <c r="A200" s="40"/>
    </row>
    <row r="201" ht="14.25" customHeight="1">
      <c r="A201" s="40"/>
    </row>
    <row r="202" ht="14.25" customHeight="1">
      <c r="A202" s="40"/>
    </row>
    <row r="203" ht="14.25" customHeight="1">
      <c r="A203" s="40"/>
    </row>
    <row r="204" ht="14.25" customHeight="1">
      <c r="A204" s="40"/>
    </row>
    <row r="205" ht="14.25" customHeight="1">
      <c r="A205" s="40"/>
    </row>
    <row r="206" ht="14.25" customHeight="1">
      <c r="A206" s="40"/>
    </row>
    <row r="207" ht="14.25" customHeight="1">
      <c r="A207" s="40"/>
    </row>
    <row r="208" ht="14.25" customHeight="1">
      <c r="A208" s="40"/>
    </row>
    <row r="209" ht="14.25" customHeight="1">
      <c r="A209" s="40"/>
    </row>
    <row r="210" ht="14.25" customHeight="1">
      <c r="A210" s="40"/>
    </row>
    <row r="211" ht="14.25" customHeight="1">
      <c r="A211" s="40"/>
    </row>
    <row r="212" ht="14.25" customHeight="1">
      <c r="A212" s="40"/>
    </row>
    <row r="213" ht="14.25" customHeight="1">
      <c r="A213" s="40"/>
    </row>
    <row r="214" ht="14.25" customHeight="1">
      <c r="A214" s="40"/>
    </row>
    <row r="215" ht="14.25" customHeight="1">
      <c r="A215" s="40"/>
    </row>
    <row r="216" ht="14.25" customHeight="1">
      <c r="A216" s="40"/>
    </row>
    <row r="217" ht="14.25" customHeight="1">
      <c r="A217" s="40"/>
    </row>
    <row r="218" ht="14.25" customHeight="1">
      <c r="A218" s="40"/>
    </row>
    <row r="219" ht="14.25" customHeight="1">
      <c r="A219" s="40"/>
    </row>
    <row r="220" ht="14.25" customHeight="1">
      <c r="A220" s="40"/>
    </row>
    <row r="221" ht="14.25" customHeight="1">
      <c r="A221" s="40"/>
    </row>
    <row r="222" ht="14.25" customHeight="1">
      <c r="A222" s="40"/>
    </row>
    <row r="223" ht="14.25" customHeight="1">
      <c r="A223" s="40"/>
    </row>
    <row r="224" ht="14.25" customHeight="1">
      <c r="A224" s="40"/>
    </row>
    <row r="225" ht="14.25" customHeight="1">
      <c r="A225" s="40"/>
    </row>
    <row r="226" ht="14.25" customHeight="1">
      <c r="A226" s="40"/>
    </row>
    <row r="227" ht="14.25" customHeight="1">
      <c r="A227" s="40"/>
    </row>
    <row r="228" ht="14.25" customHeight="1">
      <c r="A228" s="40"/>
    </row>
    <row r="229" ht="14.25" customHeight="1">
      <c r="A229" s="40"/>
    </row>
    <row r="230" ht="14.25" customHeight="1">
      <c r="A230" s="40"/>
    </row>
    <row r="231" ht="14.25" customHeight="1">
      <c r="A231" s="40"/>
    </row>
    <row r="232" ht="14.25" customHeight="1">
      <c r="A232" s="40"/>
    </row>
    <row r="233" ht="14.25" customHeight="1">
      <c r="A233" s="40"/>
    </row>
    <row r="234" ht="14.25" customHeight="1">
      <c r="A234" s="40"/>
    </row>
    <row r="235" ht="14.25" customHeight="1">
      <c r="A235" s="40"/>
    </row>
    <row r="236" ht="14.25" customHeight="1">
      <c r="A236" s="40"/>
    </row>
    <row r="237" ht="14.25" customHeight="1">
      <c r="A237" s="40"/>
    </row>
    <row r="238" ht="14.25" customHeight="1">
      <c r="A238" s="40"/>
    </row>
    <row r="239" ht="14.25" customHeight="1">
      <c r="A239" s="40"/>
    </row>
    <row r="240" ht="14.25" customHeight="1">
      <c r="A240" s="40"/>
    </row>
    <row r="241" ht="14.25" customHeight="1">
      <c r="A241" s="40"/>
    </row>
    <row r="242" ht="14.25" customHeight="1">
      <c r="A242" s="40"/>
    </row>
    <row r="243" ht="14.25" customHeight="1">
      <c r="A243" s="40"/>
    </row>
    <row r="244" ht="14.25" customHeight="1">
      <c r="A244" s="40"/>
    </row>
    <row r="245" ht="14.25" customHeight="1">
      <c r="A245" s="40"/>
    </row>
    <row r="246" ht="14.25" customHeight="1">
      <c r="A246" s="40"/>
    </row>
    <row r="247" ht="14.25" customHeight="1">
      <c r="A247" s="40"/>
    </row>
    <row r="248" ht="14.25" customHeight="1">
      <c r="A248" s="40"/>
    </row>
    <row r="249" ht="14.25" customHeight="1">
      <c r="A249" s="40"/>
    </row>
    <row r="250" ht="14.25" customHeight="1">
      <c r="A250" s="40"/>
    </row>
    <row r="251" ht="14.25" customHeight="1">
      <c r="A251" s="40"/>
    </row>
    <row r="252" ht="14.25" customHeight="1">
      <c r="A252" s="40"/>
    </row>
    <row r="253" ht="14.25" customHeight="1">
      <c r="A253" s="40"/>
    </row>
    <row r="254" ht="14.25" customHeight="1">
      <c r="A254" s="40"/>
    </row>
    <row r="255" ht="14.25" customHeight="1">
      <c r="A255" s="40"/>
    </row>
    <row r="256" ht="14.25" customHeight="1">
      <c r="A256" s="40"/>
    </row>
    <row r="257" ht="14.25" customHeight="1">
      <c r="A257" s="40"/>
    </row>
    <row r="258" ht="14.25" customHeight="1">
      <c r="A258" s="40"/>
    </row>
    <row r="259" ht="14.25" customHeight="1">
      <c r="A259" s="40"/>
    </row>
    <row r="260" ht="14.25" customHeight="1">
      <c r="A260" s="40"/>
    </row>
    <row r="261" ht="14.25" customHeight="1">
      <c r="A261" s="40"/>
    </row>
    <row r="262" ht="14.25" customHeight="1">
      <c r="A262" s="40"/>
    </row>
    <row r="263" ht="14.25" customHeight="1">
      <c r="A263" s="40"/>
    </row>
    <row r="264" ht="14.25" customHeight="1">
      <c r="A264" s="40"/>
    </row>
    <row r="265" ht="14.25" customHeight="1">
      <c r="A265" s="40"/>
    </row>
    <row r="266" ht="14.25" customHeight="1">
      <c r="A266" s="40"/>
    </row>
    <row r="267" ht="14.25" customHeight="1">
      <c r="A267" s="40"/>
    </row>
    <row r="268" ht="14.25" customHeight="1">
      <c r="A268" s="40"/>
    </row>
    <row r="269" ht="14.25" customHeight="1">
      <c r="A269" s="40"/>
    </row>
    <row r="270" ht="14.25" customHeight="1">
      <c r="A270" s="40"/>
    </row>
    <row r="271" ht="14.25" customHeight="1">
      <c r="A271" s="40"/>
    </row>
    <row r="272" ht="14.25" customHeight="1">
      <c r="A272" s="40"/>
    </row>
    <row r="273" ht="14.25" customHeight="1">
      <c r="A273" s="40"/>
    </row>
    <row r="274" ht="14.25" customHeight="1">
      <c r="A274" s="40"/>
    </row>
    <row r="275" ht="14.25" customHeight="1">
      <c r="A275" s="40"/>
    </row>
    <row r="276" ht="14.25" customHeight="1">
      <c r="A276" s="40"/>
    </row>
    <row r="277" ht="14.25" customHeight="1">
      <c r="A277" s="40"/>
    </row>
    <row r="278" ht="14.25" customHeight="1">
      <c r="A278" s="40"/>
    </row>
    <row r="279" ht="14.25" customHeight="1">
      <c r="A279" s="40"/>
    </row>
    <row r="280" ht="14.25" customHeight="1">
      <c r="A280" s="40"/>
    </row>
    <row r="281" ht="14.25" customHeight="1">
      <c r="A281" s="40"/>
    </row>
    <row r="282" ht="14.25" customHeight="1">
      <c r="A282" s="40"/>
    </row>
    <row r="283" ht="14.25" customHeight="1">
      <c r="A283" s="40"/>
    </row>
    <row r="284" ht="14.25" customHeight="1">
      <c r="A284" s="40"/>
    </row>
    <row r="285" ht="14.25" customHeight="1">
      <c r="A285" s="40"/>
    </row>
    <row r="286" ht="14.25" customHeight="1">
      <c r="A286" s="40"/>
    </row>
    <row r="287" ht="14.25" customHeight="1">
      <c r="A287" s="40"/>
    </row>
    <row r="288" ht="14.25" customHeight="1">
      <c r="A288" s="40"/>
    </row>
    <row r="289" ht="14.25" customHeight="1">
      <c r="A289" s="40"/>
    </row>
    <row r="290" ht="14.25" customHeight="1">
      <c r="A290" s="40"/>
    </row>
    <row r="291" ht="14.25" customHeight="1">
      <c r="A291" s="40"/>
    </row>
    <row r="292" ht="14.25" customHeight="1">
      <c r="A292" s="40"/>
    </row>
    <row r="293" ht="14.25" customHeight="1">
      <c r="A293" s="40"/>
    </row>
    <row r="294" ht="14.25" customHeight="1">
      <c r="A294" s="40"/>
    </row>
    <row r="295" ht="14.25" customHeight="1">
      <c r="A295" s="40"/>
    </row>
    <row r="296" ht="14.25" customHeight="1">
      <c r="A296" s="40"/>
    </row>
    <row r="297" ht="14.25" customHeight="1">
      <c r="A297" s="40"/>
    </row>
    <row r="298" ht="14.25" customHeight="1">
      <c r="A298" s="40"/>
    </row>
    <row r="299" ht="14.25" customHeight="1">
      <c r="A299" s="40"/>
    </row>
    <row r="300" ht="14.25" customHeight="1">
      <c r="A300" s="40"/>
    </row>
    <row r="301" ht="14.25" customHeight="1">
      <c r="A301" s="40"/>
    </row>
    <row r="302" ht="14.25" customHeight="1">
      <c r="A302" s="40"/>
    </row>
    <row r="303" ht="14.25" customHeight="1">
      <c r="A303" s="40"/>
    </row>
    <row r="304" ht="14.25" customHeight="1">
      <c r="A304" s="40"/>
    </row>
    <row r="305" ht="14.25" customHeight="1">
      <c r="A305" s="40"/>
    </row>
    <row r="306" ht="14.25" customHeight="1">
      <c r="A306" s="40"/>
    </row>
    <row r="307" ht="14.25" customHeight="1">
      <c r="A307" s="40"/>
    </row>
    <row r="308" ht="14.25" customHeight="1">
      <c r="A308" s="40"/>
    </row>
    <row r="309" ht="14.25" customHeight="1">
      <c r="A309" s="40"/>
    </row>
    <row r="310" ht="14.25" customHeight="1">
      <c r="A310" s="40"/>
    </row>
    <row r="311" ht="14.25" customHeight="1">
      <c r="A311" s="40"/>
    </row>
    <row r="312" ht="14.25" customHeight="1">
      <c r="A312" s="40"/>
    </row>
    <row r="313" ht="14.25" customHeight="1">
      <c r="A313" s="40"/>
    </row>
    <row r="314" ht="14.25" customHeight="1">
      <c r="A314" s="40"/>
    </row>
    <row r="315" ht="14.25" customHeight="1">
      <c r="A315" s="40"/>
    </row>
    <row r="316" ht="14.25" customHeight="1">
      <c r="A316" s="40"/>
    </row>
    <row r="317" ht="14.25" customHeight="1">
      <c r="A317" s="40"/>
    </row>
    <row r="318" ht="14.25" customHeight="1">
      <c r="A318" s="40"/>
    </row>
    <row r="319" ht="14.25" customHeight="1">
      <c r="A319" s="40"/>
    </row>
    <row r="320" ht="14.25" customHeight="1">
      <c r="A320" s="40"/>
    </row>
    <row r="321" ht="14.25" customHeight="1">
      <c r="A321" s="40"/>
    </row>
    <row r="322" ht="14.25" customHeight="1">
      <c r="A322" s="40"/>
    </row>
    <row r="323" ht="14.25" customHeight="1">
      <c r="A323" s="40"/>
    </row>
    <row r="324" ht="14.25" customHeight="1">
      <c r="A324" s="40"/>
    </row>
    <row r="325" ht="14.25" customHeight="1">
      <c r="A325" s="40"/>
    </row>
    <row r="326" ht="14.25" customHeight="1">
      <c r="A326" s="40"/>
    </row>
    <row r="327" ht="14.25" customHeight="1">
      <c r="A327" s="40"/>
    </row>
    <row r="328" ht="14.25" customHeight="1">
      <c r="A328" s="40"/>
    </row>
    <row r="329" ht="14.25" customHeight="1">
      <c r="A329" s="40"/>
    </row>
    <row r="330" ht="14.25" customHeight="1">
      <c r="A330" s="40"/>
    </row>
    <row r="331" ht="14.25" customHeight="1">
      <c r="A331" s="40"/>
    </row>
    <row r="332" ht="14.25" customHeight="1">
      <c r="A332" s="40"/>
    </row>
    <row r="333" ht="14.25" customHeight="1">
      <c r="A333" s="40"/>
    </row>
    <row r="334" ht="14.25" customHeight="1">
      <c r="A334" s="40"/>
    </row>
    <row r="335" ht="14.25" customHeight="1">
      <c r="A335" s="40"/>
    </row>
    <row r="336" ht="14.25" customHeight="1">
      <c r="A336" s="40"/>
    </row>
    <row r="337" ht="14.25" customHeight="1">
      <c r="A337" s="40"/>
    </row>
    <row r="338" ht="14.25" customHeight="1">
      <c r="A338" s="40"/>
    </row>
    <row r="339" ht="14.25" customHeight="1">
      <c r="A339" s="40"/>
    </row>
    <row r="340" ht="14.25" customHeight="1">
      <c r="A340" s="40"/>
    </row>
    <row r="341" ht="14.25" customHeight="1">
      <c r="A341" s="40"/>
    </row>
    <row r="342" ht="14.25" customHeight="1">
      <c r="A342" s="40"/>
    </row>
    <row r="343" ht="14.25" customHeight="1">
      <c r="A343" s="40"/>
    </row>
    <row r="344" ht="14.25" customHeight="1">
      <c r="A344" s="40"/>
    </row>
    <row r="345" ht="14.25" customHeight="1">
      <c r="A345" s="40"/>
    </row>
    <row r="346" ht="14.25" customHeight="1">
      <c r="A346" s="40"/>
    </row>
    <row r="347" ht="14.25" customHeight="1">
      <c r="A347" s="40"/>
    </row>
    <row r="348" ht="14.25" customHeight="1">
      <c r="A348" s="40"/>
    </row>
    <row r="349" ht="14.25" customHeight="1">
      <c r="A349" s="40"/>
    </row>
    <row r="350" ht="14.25" customHeight="1">
      <c r="A350" s="40"/>
    </row>
    <row r="351" ht="14.25" customHeight="1">
      <c r="A351" s="40"/>
    </row>
    <row r="352" ht="14.25" customHeight="1">
      <c r="A352" s="40"/>
    </row>
    <row r="353" ht="14.25" customHeight="1">
      <c r="A353" s="40"/>
    </row>
    <row r="354" ht="14.25" customHeight="1">
      <c r="A354" s="40"/>
    </row>
    <row r="355" ht="14.25" customHeight="1">
      <c r="A355" s="40"/>
    </row>
    <row r="356" ht="14.25" customHeight="1">
      <c r="A356" s="40"/>
    </row>
    <row r="357" ht="14.25" customHeight="1">
      <c r="A357" s="40"/>
    </row>
    <row r="358" ht="14.25" customHeight="1">
      <c r="A358" s="40"/>
    </row>
    <row r="359" ht="14.25" customHeight="1">
      <c r="A359" s="40"/>
    </row>
    <row r="360" ht="14.25" customHeight="1">
      <c r="A360" s="40"/>
    </row>
    <row r="361" ht="14.25" customHeight="1">
      <c r="A361" s="40"/>
    </row>
    <row r="362" ht="14.25" customHeight="1">
      <c r="A362" s="40"/>
    </row>
    <row r="363" ht="14.25" customHeight="1">
      <c r="A363" s="40"/>
    </row>
    <row r="364" ht="14.25" customHeight="1">
      <c r="A364" s="40"/>
    </row>
    <row r="365" ht="14.25" customHeight="1">
      <c r="A365" s="40"/>
    </row>
    <row r="366" ht="14.25" customHeight="1">
      <c r="A366" s="40"/>
    </row>
    <row r="367" ht="14.25" customHeight="1">
      <c r="A367" s="40"/>
    </row>
    <row r="368" ht="14.25" customHeight="1">
      <c r="A368" s="40"/>
    </row>
    <row r="369" ht="14.25" customHeight="1">
      <c r="A369" s="40"/>
    </row>
    <row r="370" ht="14.25" customHeight="1">
      <c r="A370" s="40"/>
    </row>
    <row r="371" ht="14.25" customHeight="1">
      <c r="A371" s="40"/>
    </row>
    <row r="372" ht="14.25" customHeight="1">
      <c r="A372" s="40"/>
    </row>
    <row r="373" ht="14.25" customHeight="1">
      <c r="A373" s="40"/>
    </row>
    <row r="374" ht="14.25" customHeight="1">
      <c r="A374" s="40"/>
    </row>
    <row r="375" ht="14.25" customHeight="1">
      <c r="A375" s="40"/>
    </row>
    <row r="376" ht="14.25" customHeight="1">
      <c r="A376" s="40"/>
    </row>
    <row r="377" ht="14.25" customHeight="1">
      <c r="A377" s="40"/>
    </row>
    <row r="378" ht="14.25" customHeight="1">
      <c r="A378" s="40"/>
    </row>
    <row r="379" ht="14.25" customHeight="1">
      <c r="A379" s="40"/>
    </row>
    <row r="380" ht="14.25" customHeight="1">
      <c r="A380" s="40"/>
    </row>
    <row r="381" ht="14.25" customHeight="1">
      <c r="A381" s="40"/>
    </row>
    <row r="382" ht="14.25" customHeight="1">
      <c r="A382" s="40"/>
    </row>
    <row r="383" ht="14.25" customHeight="1">
      <c r="A383" s="40"/>
    </row>
    <row r="384" ht="14.25" customHeight="1">
      <c r="A384" s="40"/>
    </row>
    <row r="385" ht="14.25" customHeight="1">
      <c r="A385" s="40"/>
    </row>
    <row r="386" ht="14.25" customHeight="1">
      <c r="A386" s="40"/>
    </row>
    <row r="387" ht="14.25" customHeight="1">
      <c r="A387" s="40"/>
    </row>
    <row r="388" ht="14.25" customHeight="1">
      <c r="A388" s="40"/>
    </row>
    <row r="389" ht="14.25" customHeight="1">
      <c r="A389" s="40"/>
    </row>
    <row r="390" ht="14.25" customHeight="1">
      <c r="A390" s="40"/>
    </row>
    <row r="391" ht="14.25" customHeight="1">
      <c r="A391" s="40"/>
    </row>
    <row r="392" ht="14.25" customHeight="1">
      <c r="A392" s="40"/>
    </row>
    <row r="393" ht="14.25" customHeight="1">
      <c r="A393" s="40"/>
    </row>
    <row r="394" ht="14.25" customHeight="1">
      <c r="A394" s="40"/>
    </row>
    <row r="395" ht="14.25" customHeight="1">
      <c r="A395" s="40"/>
    </row>
    <row r="396" ht="14.25" customHeight="1">
      <c r="A396" s="40"/>
    </row>
    <row r="397" ht="14.25" customHeight="1">
      <c r="A397" s="40"/>
    </row>
    <row r="398" ht="14.25" customHeight="1">
      <c r="A398" s="40"/>
    </row>
    <row r="399" ht="14.25" customHeight="1">
      <c r="A399" s="40"/>
    </row>
    <row r="400" ht="14.25" customHeight="1">
      <c r="A400" s="40"/>
    </row>
    <row r="401" ht="14.25" customHeight="1">
      <c r="A401" s="40"/>
    </row>
    <row r="402" ht="14.25" customHeight="1">
      <c r="A402" s="40"/>
    </row>
    <row r="403" ht="14.25" customHeight="1">
      <c r="A403" s="40"/>
    </row>
    <row r="404" ht="14.25" customHeight="1">
      <c r="A404" s="40"/>
    </row>
    <row r="405" ht="14.25" customHeight="1">
      <c r="A405" s="40"/>
    </row>
    <row r="406" ht="14.25" customHeight="1">
      <c r="A406" s="40"/>
    </row>
    <row r="407" ht="14.25" customHeight="1">
      <c r="A407" s="40"/>
    </row>
    <row r="408" ht="14.25" customHeight="1">
      <c r="A408" s="40"/>
    </row>
    <row r="409" ht="14.25" customHeight="1">
      <c r="A409" s="40"/>
    </row>
    <row r="410" ht="14.25" customHeight="1">
      <c r="A410" s="40"/>
    </row>
    <row r="411" ht="14.25" customHeight="1">
      <c r="A411" s="40"/>
    </row>
    <row r="412" ht="14.25" customHeight="1">
      <c r="A412" s="40"/>
    </row>
    <row r="413" ht="14.25" customHeight="1">
      <c r="A413" s="40"/>
    </row>
    <row r="414" ht="14.25" customHeight="1">
      <c r="A414" s="40"/>
    </row>
    <row r="415" ht="14.25" customHeight="1">
      <c r="A415" s="40"/>
    </row>
    <row r="416" ht="14.25" customHeight="1">
      <c r="A416" s="40"/>
    </row>
    <row r="417" ht="14.25" customHeight="1">
      <c r="A417" s="40"/>
    </row>
    <row r="418" ht="14.25" customHeight="1">
      <c r="A418" s="40"/>
    </row>
    <row r="419" ht="14.25" customHeight="1">
      <c r="A419" s="40"/>
    </row>
    <row r="420" ht="14.25" customHeight="1">
      <c r="A420" s="40"/>
    </row>
    <row r="421" ht="14.25" customHeight="1">
      <c r="A421" s="40"/>
    </row>
    <row r="422" ht="14.25" customHeight="1">
      <c r="A422" s="40"/>
    </row>
    <row r="423" ht="14.25" customHeight="1">
      <c r="A423" s="40"/>
    </row>
    <row r="424" ht="14.25" customHeight="1">
      <c r="A424" s="40"/>
    </row>
    <row r="425" ht="14.25" customHeight="1">
      <c r="A425" s="40"/>
    </row>
    <row r="426" ht="14.25" customHeight="1">
      <c r="A426" s="40"/>
    </row>
    <row r="427" ht="14.25" customHeight="1">
      <c r="A427" s="40"/>
    </row>
    <row r="428" ht="14.25" customHeight="1">
      <c r="A428" s="40"/>
    </row>
    <row r="429" ht="14.25" customHeight="1">
      <c r="A429" s="40"/>
    </row>
    <row r="430" ht="14.25" customHeight="1">
      <c r="A430" s="40"/>
    </row>
    <row r="431" ht="14.25" customHeight="1">
      <c r="A431" s="40"/>
    </row>
    <row r="432" ht="14.25" customHeight="1">
      <c r="A432" s="40"/>
    </row>
    <row r="433" ht="14.25" customHeight="1">
      <c r="A433" s="40"/>
    </row>
    <row r="434" ht="14.25" customHeight="1">
      <c r="A434" s="40"/>
    </row>
    <row r="435" ht="14.25" customHeight="1">
      <c r="A435" s="40"/>
    </row>
    <row r="436" ht="14.25" customHeight="1">
      <c r="A436" s="40"/>
    </row>
    <row r="437" ht="14.25" customHeight="1">
      <c r="A437" s="40"/>
    </row>
    <row r="438" ht="14.25" customHeight="1">
      <c r="A438" s="40"/>
    </row>
    <row r="439" ht="14.25" customHeight="1">
      <c r="A439" s="40"/>
    </row>
    <row r="440" ht="14.25" customHeight="1">
      <c r="A440" s="40"/>
    </row>
    <row r="441" ht="14.25" customHeight="1">
      <c r="A441" s="40"/>
    </row>
    <row r="442" ht="14.25" customHeight="1">
      <c r="A442" s="40"/>
    </row>
    <row r="443" ht="14.25" customHeight="1">
      <c r="A443" s="40"/>
    </row>
    <row r="444" ht="14.25" customHeight="1">
      <c r="A444" s="40"/>
    </row>
    <row r="445" ht="14.25" customHeight="1">
      <c r="A445" s="40"/>
    </row>
    <row r="446" ht="14.25" customHeight="1">
      <c r="A446" s="40"/>
    </row>
    <row r="447" ht="14.25" customHeight="1">
      <c r="A447" s="40"/>
    </row>
    <row r="448" ht="14.25" customHeight="1">
      <c r="A448" s="40"/>
    </row>
    <row r="449" ht="14.25" customHeight="1">
      <c r="A449" s="40"/>
    </row>
    <row r="450" ht="14.25" customHeight="1">
      <c r="A450" s="40"/>
    </row>
    <row r="451" ht="14.25" customHeight="1">
      <c r="A451" s="40"/>
    </row>
    <row r="452" ht="14.25" customHeight="1">
      <c r="A452" s="40"/>
    </row>
    <row r="453" ht="14.25" customHeight="1">
      <c r="A453" s="40"/>
    </row>
    <row r="454" ht="14.25" customHeight="1">
      <c r="A454" s="40"/>
    </row>
    <row r="455" ht="14.25" customHeight="1">
      <c r="A455" s="40"/>
    </row>
    <row r="456" ht="14.25" customHeight="1">
      <c r="A456" s="40"/>
    </row>
    <row r="457" ht="14.25" customHeight="1">
      <c r="A457" s="40"/>
    </row>
    <row r="458" ht="14.25" customHeight="1">
      <c r="A458" s="40"/>
    </row>
    <row r="459" ht="14.25" customHeight="1">
      <c r="A459" s="40"/>
    </row>
    <row r="460" ht="14.25" customHeight="1">
      <c r="A460" s="40"/>
    </row>
    <row r="461" ht="14.25" customHeight="1">
      <c r="A461" s="40"/>
    </row>
    <row r="462" ht="14.25" customHeight="1">
      <c r="A462" s="40"/>
    </row>
    <row r="463" ht="14.25" customHeight="1">
      <c r="A463" s="40"/>
    </row>
    <row r="464" ht="14.25" customHeight="1">
      <c r="A464" s="40"/>
    </row>
    <row r="465" ht="14.25" customHeight="1">
      <c r="A465" s="40"/>
    </row>
    <row r="466" ht="14.25" customHeight="1">
      <c r="A466" s="40"/>
    </row>
    <row r="467" ht="14.25" customHeight="1">
      <c r="A467" s="40"/>
    </row>
    <row r="468" ht="14.25" customHeight="1">
      <c r="A468" s="40"/>
    </row>
    <row r="469" ht="14.25" customHeight="1">
      <c r="A469" s="40"/>
    </row>
    <row r="470" ht="14.25" customHeight="1">
      <c r="A470" s="40"/>
    </row>
    <row r="471" ht="14.25" customHeight="1">
      <c r="A471" s="40"/>
    </row>
    <row r="472" ht="14.25" customHeight="1">
      <c r="A472" s="40"/>
    </row>
    <row r="473" ht="14.25" customHeight="1">
      <c r="A473" s="40"/>
    </row>
    <row r="474" ht="14.25" customHeight="1">
      <c r="A474" s="40"/>
    </row>
    <row r="475" ht="14.25" customHeight="1">
      <c r="A475" s="40"/>
    </row>
    <row r="476" ht="14.25" customHeight="1">
      <c r="A476" s="40"/>
    </row>
    <row r="477" ht="14.25" customHeight="1">
      <c r="A477" s="40"/>
    </row>
    <row r="478" ht="14.25" customHeight="1">
      <c r="A478" s="40"/>
    </row>
    <row r="479" ht="14.25" customHeight="1">
      <c r="A479" s="40"/>
    </row>
    <row r="480" ht="14.25" customHeight="1">
      <c r="A480" s="40"/>
    </row>
    <row r="481" ht="14.25" customHeight="1">
      <c r="A481" s="40"/>
    </row>
    <row r="482" ht="14.25" customHeight="1">
      <c r="A482" s="40"/>
    </row>
    <row r="483" ht="14.25" customHeight="1">
      <c r="A483" s="40"/>
    </row>
    <row r="484" ht="14.25" customHeight="1">
      <c r="A484" s="40"/>
    </row>
    <row r="485" ht="14.25" customHeight="1">
      <c r="A485" s="40"/>
    </row>
    <row r="486" ht="14.25" customHeight="1">
      <c r="A486" s="40"/>
    </row>
    <row r="487" ht="14.25" customHeight="1">
      <c r="A487" s="40"/>
    </row>
    <row r="488" ht="14.25" customHeight="1">
      <c r="A488" s="40"/>
    </row>
    <row r="489" ht="14.25" customHeight="1">
      <c r="A489" s="40"/>
    </row>
    <row r="490" ht="14.25" customHeight="1">
      <c r="A490" s="40"/>
    </row>
    <row r="491" ht="14.25" customHeight="1">
      <c r="A491" s="40"/>
    </row>
    <row r="492" ht="14.25" customHeight="1">
      <c r="A492" s="40"/>
    </row>
    <row r="493" ht="14.25" customHeight="1">
      <c r="A493" s="40"/>
    </row>
    <row r="494" ht="14.25" customHeight="1">
      <c r="A494" s="40"/>
    </row>
    <row r="495" ht="14.25" customHeight="1">
      <c r="A495" s="40"/>
    </row>
    <row r="496" ht="14.25" customHeight="1">
      <c r="A496" s="40"/>
    </row>
    <row r="497" ht="14.25" customHeight="1">
      <c r="A497" s="40"/>
    </row>
    <row r="498" ht="14.25" customHeight="1">
      <c r="A498" s="40"/>
    </row>
    <row r="499" ht="14.25" customHeight="1">
      <c r="A499" s="40"/>
    </row>
    <row r="500" ht="14.25" customHeight="1">
      <c r="A500" s="40"/>
    </row>
    <row r="501" ht="14.25" customHeight="1">
      <c r="A501" s="40"/>
    </row>
    <row r="502" ht="14.25" customHeight="1">
      <c r="A502" s="40"/>
    </row>
    <row r="503" ht="14.25" customHeight="1">
      <c r="A503" s="40"/>
    </row>
    <row r="504" ht="14.25" customHeight="1">
      <c r="A504" s="40"/>
    </row>
    <row r="505" ht="14.25" customHeight="1">
      <c r="A505" s="40"/>
    </row>
    <row r="506" ht="14.25" customHeight="1">
      <c r="A506" s="40"/>
    </row>
    <row r="507" ht="14.25" customHeight="1">
      <c r="A507" s="40"/>
    </row>
    <row r="508" ht="14.25" customHeight="1">
      <c r="A508" s="40"/>
    </row>
    <row r="509" ht="14.25" customHeight="1">
      <c r="A509" s="40"/>
    </row>
    <row r="510" ht="14.25" customHeight="1">
      <c r="A510" s="40"/>
    </row>
    <row r="511" ht="14.25" customHeight="1">
      <c r="A511" s="40"/>
    </row>
    <row r="512" ht="14.25" customHeight="1">
      <c r="A512" s="40"/>
    </row>
    <row r="513" ht="14.25" customHeight="1">
      <c r="A513" s="40"/>
    </row>
    <row r="514" ht="14.25" customHeight="1">
      <c r="A514" s="40"/>
    </row>
    <row r="515" ht="14.25" customHeight="1">
      <c r="A515" s="40"/>
    </row>
    <row r="516" ht="14.25" customHeight="1">
      <c r="A516" s="40"/>
    </row>
    <row r="517" ht="14.25" customHeight="1">
      <c r="A517" s="40"/>
    </row>
    <row r="518" ht="14.25" customHeight="1">
      <c r="A518" s="40"/>
    </row>
    <row r="519" ht="14.25" customHeight="1">
      <c r="A519" s="40"/>
    </row>
    <row r="520" ht="14.25" customHeight="1">
      <c r="A520" s="40"/>
    </row>
    <row r="521" ht="14.25" customHeight="1">
      <c r="A521" s="40"/>
    </row>
    <row r="522" ht="14.25" customHeight="1">
      <c r="A522" s="40"/>
    </row>
    <row r="523" ht="14.25" customHeight="1">
      <c r="A523" s="40"/>
    </row>
    <row r="524" ht="14.25" customHeight="1">
      <c r="A524" s="40"/>
    </row>
    <row r="525" ht="14.25" customHeight="1">
      <c r="A525" s="40"/>
    </row>
    <row r="526" ht="14.25" customHeight="1">
      <c r="A526" s="40"/>
    </row>
    <row r="527" ht="14.25" customHeight="1">
      <c r="A527" s="40"/>
    </row>
    <row r="528" ht="14.25" customHeight="1">
      <c r="A528" s="40"/>
    </row>
    <row r="529" ht="14.25" customHeight="1">
      <c r="A529" s="40"/>
    </row>
    <row r="530" ht="14.25" customHeight="1">
      <c r="A530" s="40"/>
    </row>
    <row r="531" ht="14.25" customHeight="1">
      <c r="A531" s="40"/>
    </row>
    <row r="532" ht="14.25" customHeight="1">
      <c r="A532" s="40"/>
    </row>
    <row r="533" ht="14.25" customHeight="1">
      <c r="A533" s="40"/>
    </row>
    <row r="534" ht="14.25" customHeight="1">
      <c r="A534" s="40"/>
    </row>
    <row r="535" ht="14.25" customHeight="1">
      <c r="A535" s="40"/>
    </row>
    <row r="536" ht="14.25" customHeight="1">
      <c r="A536" s="40"/>
    </row>
    <row r="537" ht="14.25" customHeight="1">
      <c r="A537" s="40"/>
    </row>
    <row r="538" ht="14.25" customHeight="1">
      <c r="A538" s="40"/>
    </row>
    <row r="539" ht="14.25" customHeight="1">
      <c r="A539" s="40"/>
    </row>
    <row r="540" ht="14.25" customHeight="1">
      <c r="A540" s="40"/>
    </row>
    <row r="541" ht="14.25" customHeight="1">
      <c r="A541" s="40"/>
    </row>
    <row r="542" ht="14.25" customHeight="1">
      <c r="A542" s="40"/>
    </row>
    <row r="543" ht="14.25" customHeight="1">
      <c r="A543" s="40"/>
    </row>
    <row r="544" ht="14.25" customHeight="1">
      <c r="A544" s="40"/>
    </row>
    <row r="545" ht="14.25" customHeight="1">
      <c r="A545" s="40"/>
    </row>
    <row r="546" ht="14.25" customHeight="1">
      <c r="A546" s="40"/>
    </row>
    <row r="547" ht="14.25" customHeight="1">
      <c r="A547" s="40"/>
    </row>
    <row r="548" ht="14.25" customHeight="1">
      <c r="A548" s="40"/>
    </row>
    <row r="549" ht="14.25" customHeight="1">
      <c r="A549" s="40"/>
    </row>
    <row r="550" ht="14.25" customHeight="1">
      <c r="A550" s="40"/>
    </row>
    <row r="551" ht="14.25" customHeight="1">
      <c r="A551" s="40"/>
    </row>
    <row r="552" ht="14.25" customHeight="1">
      <c r="A552" s="40"/>
    </row>
    <row r="553" ht="14.25" customHeight="1">
      <c r="A553" s="40"/>
    </row>
    <row r="554" ht="14.25" customHeight="1">
      <c r="A554" s="40"/>
    </row>
    <row r="555" ht="14.25" customHeight="1">
      <c r="A555" s="40"/>
    </row>
    <row r="556" ht="14.25" customHeight="1">
      <c r="A556" s="40"/>
    </row>
    <row r="557" ht="14.25" customHeight="1">
      <c r="A557" s="40"/>
    </row>
    <row r="558" ht="14.25" customHeight="1">
      <c r="A558" s="40"/>
    </row>
    <row r="559" ht="14.25" customHeight="1">
      <c r="A559" s="40"/>
    </row>
    <row r="560" ht="14.25" customHeight="1">
      <c r="A560" s="40"/>
    </row>
    <row r="561" ht="14.25" customHeight="1">
      <c r="A561" s="40"/>
    </row>
    <row r="562" ht="14.25" customHeight="1">
      <c r="A562" s="40"/>
    </row>
    <row r="563" ht="14.25" customHeight="1">
      <c r="A563" s="40"/>
    </row>
    <row r="564" ht="14.25" customHeight="1">
      <c r="A564" s="40"/>
    </row>
    <row r="565" ht="14.25" customHeight="1">
      <c r="A565" s="40"/>
    </row>
    <row r="566" ht="14.25" customHeight="1">
      <c r="A566" s="40"/>
    </row>
    <row r="567" ht="14.25" customHeight="1">
      <c r="A567" s="40"/>
    </row>
    <row r="568" ht="14.25" customHeight="1">
      <c r="A568" s="40"/>
    </row>
    <row r="569" ht="14.25" customHeight="1">
      <c r="A569" s="40"/>
    </row>
    <row r="570" ht="14.25" customHeight="1">
      <c r="A570" s="40"/>
    </row>
    <row r="571" ht="14.25" customHeight="1">
      <c r="A571" s="40"/>
    </row>
    <row r="572" ht="14.25" customHeight="1">
      <c r="A572" s="40"/>
    </row>
    <row r="573" ht="14.25" customHeight="1">
      <c r="A573" s="40"/>
    </row>
    <row r="574" ht="14.25" customHeight="1">
      <c r="A574" s="40"/>
    </row>
    <row r="575" ht="14.25" customHeight="1">
      <c r="A575" s="40"/>
    </row>
    <row r="576" ht="14.25" customHeight="1">
      <c r="A576" s="40"/>
    </row>
    <row r="577" ht="14.25" customHeight="1">
      <c r="A577" s="40"/>
    </row>
    <row r="578" ht="14.25" customHeight="1">
      <c r="A578" s="40"/>
    </row>
    <row r="579" ht="14.25" customHeight="1">
      <c r="A579" s="40"/>
    </row>
    <row r="580" ht="14.25" customHeight="1">
      <c r="A580" s="40"/>
    </row>
    <row r="581" ht="14.25" customHeight="1">
      <c r="A581" s="40"/>
    </row>
    <row r="582" ht="14.25" customHeight="1">
      <c r="A582" s="40"/>
    </row>
    <row r="583" ht="14.25" customHeight="1">
      <c r="A583" s="40"/>
    </row>
    <row r="584" ht="14.25" customHeight="1">
      <c r="A584" s="40"/>
    </row>
    <row r="585" ht="14.25" customHeight="1">
      <c r="A585" s="40"/>
    </row>
    <row r="586" ht="14.25" customHeight="1">
      <c r="A586" s="40"/>
    </row>
    <row r="587" ht="14.25" customHeight="1">
      <c r="A587" s="40"/>
    </row>
    <row r="588" ht="14.25" customHeight="1">
      <c r="A588" s="40"/>
    </row>
    <row r="589" ht="14.25" customHeight="1">
      <c r="A589" s="40"/>
    </row>
    <row r="590" ht="14.25" customHeight="1">
      <c r="A590" s="40"/>
    </row>
    <row r="591" ht="14.25" customHeight="1">
      <c r="A591" s="40"/>
    </row>
    <row r="592" ht="14.25" customHeight="1">
      <c r="A592" s="40"/>
    </row>
    <row r="593" ht="14.25" customHeight="1">
      <c r="A593" s="40"/>
    </row>
    <row r="594" ht="14.25" customHeight="1">
      <c r="A594" s="40"/>
    </row>
    <row r="595" ht="14.25" customHeight="1">
      <c r="A595" s="40"/>
    </row>
    <row r="596" ht="14.25" customHeight="1">
      <c r="A596" s="40"/>
    </row>
    <row r="597" ht="14.25" customHeight="1">
      <c r="A597" s="40"/>
    </row>
    <row r="598" ht="14.25" customHeight="1">
      <c r="A598" s="40"/>
    </row>
    <row r="599" ht="14.25" customHeight="1">
      <c r="A599" s="40"/>
    </row>
    <row r="600" ht="14.25" customHeight="1">
      <c r="A600" s="40"/>
    </row>
    <row r="601" ht="14.25" customHeight="1">
      <c r="A601" s="40"/>
    </row>
    <row r="602" ht="14.25" customHeight="1">
      <c r="A602" s="40"/>
    </row>
    <row r="603" ht="14.25" customHeight="1">
      <c r="A603" s="40"/>
    </row>
    <row r="604" ht="14.25" customHeight="1">
      <c r="A604" s="40"/>
    </row>
    <row r="605" ht="14.25" customHeight="1">
      <c r="A605" s="40"/>
    </row>
    <row r="606" ht="14.25" customHeight="1">
      <c r="A606" s="40"/>
    </row>
    <row r="607" ht="14.25" customHeight="1">
      <c r="A607" s="40"/>
    </row>
    <row r="608" ht="14.25" customHeight="1">
      <c r="A608" s="40"/>
    </row>
    <row r="609" ht="14.25" customHeight="1">
      <c r="A609" s="40"/>
    </row>
    <row r="610" ht="14.25" customHeight="1">
      <c r="A610" s="40"/>
    </row>
    <row r="611" ht="14.25" customHeight="1">
      <c r="A611" s="40"/>
    </row>
    <row r="612" ht="14.25" customHeight="1">
      <c r="A612" s="40"/>
    </row>
    <row r="613" ht="14.25" customHeight="1">
      <c r="A613" s="40"/>
    </row>
    <row r="614" ht="14.25" customHeight="1">
      <c r="A614" s="40"/>
    </row>
    <row r="615" ht="14.25" customHeight="1">
      <c r="A615" s="40"/>
    </row>
    <row r="616" ht="14.25" customHeight="1">
      <c r="A616" s="40"/>
    </row>
    <row r="617" ht="14.25" customHeight="1">
      <c r="A617" s="40"/>
    </row>
    <row r="618" ht="14.25" customHeight="1">
      <c r="A618" s="40"/>
    </row>
    <row r="619" ht="14.25" customHeight="1">
      <c r="A619" s="40"/>
    </row>
    <row r="620" ht="14.25" customHeight="1">
      <c r="A620" s="40"/>
    </row>
    <row r="621" ht="14.25" customHeight="1">
      <c r="A621" s="40"/>
    </row>
    <row r="622" ht="14.25" customHeight="1">
      <c r="A622" s="40"/>
    </row>
    <row r="623" ht="14.25" customHeight="1">
      <c r="A623" s="40"/>
    </row>
    <row r="624" ht="14.25" customHeight="1">
      <c r="A624" s="40"/>
    </row>
    <row r="625" ht="14.25" customHeight="1">
      <c r="A625" s="40"/>
    </row>
    <row r="626" ht="14.25" customHeight="1">
      <c r="A626" s="40"/>
    </row>
    <row r="627" ht="14.25" customHeight="1">
      <c r="A627" s="40"/>
    </row>
    <row r="628" ht="14.25" customHeight="1">
      <c r="A628" s="40"/>
    </row>
    <row r="629" ht="14.25" customHeight="1">
      <c r="A629" s="40"/>
    </row>
    <row r="630" ht="14.25" customHeight="1">
      <c r="A630" s="40"/>
    </row>
    <row r="631" ht="14.25" customHeight="1">
      <c r="A631" s="40"/>
    </row>
    <row r="632" ht="14.25" customHeight="1">
      <c r="A632" s="40"/>
    </row>
    <row r="633" ht="14.25" customHeight="1">
      <c r="A633" s="40"/>
    </row>
    <row r="634" ht="14.25" customHeight="1">
      <c r="A634" s="40"/>
    </row>
    <row r="635" ht="14.25" customHeight="1">
      <c r="A635" s="40"/>
    </row>
    <row r="636" ht="14.25" customHeight="1">
      <c r="A636" s="40"/>
    </row>
    <row r="637" ht="14.25" customHeight="1">
      <c r="A637" s="40"/>
    </row>
    <row r="638" ht="14.25" customHeight="1">
      <c r="A638" s="40"/>
    </row>
    <row r="639" ht="14.25" customHeight="1">
      <c r="A639" s="40"/>
    </row>
    <row r="640" ht="14.25" customHeight="1">
      <c r="A640" s="40"/>
    </row>
    <row r="641" ht="14.25" customHeight="1">
      <c r="A641" s="40"/>
    </row>
    <row r="642" ht="14.25" customHeight="1">
      <c r="A642" s="40"/>
    </row>
    <row r="643" ht="14.25" customHeight="1">
      <c r="A643" s="40"/>
    </row>
    <row r="644" ht="14.25" customHeight="1">
      <c r="A644" s="40"/>
    </row>
    <row r="645" ht="14.25" customHeight="1">
      <c r="A645" s="40"/>
    </row>
    <row r="646" ht="14.25" customHeight="1">
      <c r="A646" s="40"/>
    </row>
    <row r="647" ht="14.25" customHeight="1">
      <c r="A647" s="40"/>
    </row>
    <row r="648" ht="14.25" customHeight="1">
      <c r="A648" s="40"/>
    </row>
    <row r="649" ht="14.25" customHeight="1">
      <c r="A649" s="40"/>
    </row>
    <row r="650" ht="14.25" customHeight="1">
      <c r="A650" s="40"/>
    </row>
    <row r="651" ht="14.25" customHeight="1">
      <c r="A651" s="40"/>
    </row>
    <row r="652" ht="14.25" customHeight="1">
      <c r="A652" s="40"/>
    </row>
    <row r="653" ht="14.25" customHeight="1">
      <c r="A653" s="40"/>
    </row>
    <row r="654" ht="14.25" customHeight="1">
      <c r="A654" s="40"/>
    </row>
    <row r="655" ht="14.25" customHeight="1">
      <c r="A655" s="40"/>
    </row>
    <row r="656" ht="14.25" customHeight="1">
      <c r="A656" s="40"/>
    </row>
    <row r="657" ht="14.25" customHeight="1">
      <c r="A657" s="40"/>
    </row>
    <row r="658" ht="14.25" customHeight="1">
      <c r="A658" s="40"/>
    </row>
    <row r="659" ht="14.25" customHeight="1">
      <c r="A659" s="40"/>
    </row>
    <row r="660" ht="14.25" customHeight="1">
      <c r="A660" s="40"/>
    </row>
    <row r="661" ht="14.25" customHeight="1">
      <c r="A661" s="40"/>
    </row>
    <row r="662" ht="14.25" customHeight="1">
      <c r="A662" s="40"/>
    </row>
    <row r="663" ht="14.25" customHeight="1">
      <c r="A663" s="40"/>
    </row>
    <row r="664" ht="14.25" customHeight="1">
      <c r="A664" s="40"/>
    </row>
    <row r="665" ht="14.25" customHeight="1">
      <c r="A665" s="40"/>
    </row>
    <row r="666" ht="14.25" customHeight="1">
      <c r="A666" s="40"/>
    </row>
    <row r="667" ht="14.25" customHeight="1">
      <c r="A667" s="40"/>
    </row>
    <row r="668" ht="14.25" customHeight="1">
      <c r="A668" s="40"/>
    </row>
    <row r="669" ht="14.25" customHeight="1">
      <c r="A669" s="40"/>
    </row>
    <row r="670" ht="14.25" customHeight="1">
      <c r="A670" s="40"/>
    </row>
    <row r="671" ht="14.25" customHeight="1">
      <c r="A671" s="40"/>
    </row>
    <row r="672" ht="14.25" customHeight="1">
      <c r="A672" s="40"/>
    </row>
    <row r="673" ht="14.25" customHeight="1">
      <c r="A673" s="40"/>
    </row>
    <row r="674" ht="14.25" customHeight="1">
      <c r="A674" s="40"/>
    </row>
    <row r="675" ht="14.25" customHeight="1">
      <c r="A675" s="40"/>
    </row>
    <row r="676" ht="14.25" customHeight="1">
      <c r="A676" s="40"/>
    </row>
    <row r="677" ht="14.25" customHeight="1">
      <c r="A677" s="40"/>
    </row>
    <row r="678" ht="14.25" customHeight="1">
      <c r="A678" s="40"/>
    </row>
    <row r="679" ht="14.25" customHeight="1">
      <c r="A679" s="40"/>
    </row>
    <row r="680" ht="14.25" customHeight="1">
      <c r="A680" s="40"/>
    </row>
    <row r="681" ht="14.25" customHeight="1">
      <c r="A681" s="40"/>
    </row>
    <row r="682" ht="14.25" customHeight="1">
      <c r="A682" s="40"/>
    </row>
    <row r="683" ht="14.25" customHeight="1">
      <c r="A683" s="40"/>
    </row>
    <row r="684" ht="14.25" customHeight="1">
      <c r="A684" s="40"/>
    </row>
    <row r="685" ht="14.25" customHeight="1">
      <c r="A685" s="40"/>
    </row>
    <row r="686" ht="14.25" customHeight="1">
      <c r="A686" s="40"/>
    </row>
    <row r="687" ht="14.25" customHeight="1">
      <c r="A687" s="40"/>
    </row>
    <row r="688" ht="14.25" customHeight="1">
      <c r="A688" s="40"/>
    </row>
    <row r="689" ht="14.25" customHeight="1">
      <c r="A689" s="40"/>
    </row>
    <row r="690" ht="14.25" customHeight="1">
      <c r="A690" s="40"/>
    </row>
    <row r="691" ht="14.25" customHeight="1">
      <c r="A691" s="40"/>
    </row>
    <row r="692" ht="14.25" customHeight="1">
      <c r="A692" s="40"/>
    </row>
    <row r="693" ht="14.25" customHeight="1">
      <c r="A693" s="40"/>
    </row>
    <row r="694" ht="14.25" customHeight="1">
      <c r="A694" s="40"/>
    </row>
    <row r="695" ht="14.25" customHeight="1">
      <c r="A695" s="40"/>
    </row>
    <row r="696" ht="14.25" customHeight="1">
      <c r="A696" s="40"/>
    </row>
    <row r="697" ht="14.25" customHeight="1">
      <c r="A697" s="40"/>
    </row>
    <row r="698" ht="14.25" customHeight="1">
      <c r="A698" s="40"/>
    </row>
    <row r="699" ht="14.25" customHeight="1">
      <c r="A699" s="40"/>
    </row>
    <row r="700" ht="14.25" customHeight="1">
      <c r="A700" s="40"/>
    </row>
    <row r="701" ht="14.25" customHeight="1">
      <c r="A701" s="40"/>
    </row>
    <row r="702" ht="14.25" customHeight="1">
      <c r="A702" s="40"/>
    </row>
    <row r="703" ht="14.25" customHeight="1">
      <c r="A703" s="40"/>
    </row>
    <row r="704" ht="14.25" customHeight="1">
      <c r="A704" s="40"/>
    </row>
    <row r="705" ht="14.25" customHeight="1">
      <c r="A705" s="40"/>
    </row>
    <row r="706" ht="14.25" customHeight="1">
      <c r="A706" s="40"/>
    </row>
    <row r="707" ht="14.25" customHeight="1">
      <c r="A707" s="40"/>
    </row>
    <row r="708" ht="14.25" customHeight="1">
      <c r="A708" s="40"/>
    </row>
    <row r="709" ht="14.25" customHeight="1">
      <c r="A709" s="40"/>
    </row>
    <row r="710" ht="14.25" customHeight="1">
      <c r="A710" s="40"/>
    </row>
    <row r="711" ht="14.25" customHeight="1">
      <c r="A711" s="40"/>
    </row>
    <row r="712" ht="14.25" customHeight="1">
      <c r="A712" s="40"/>
    </row>
    <row r="713" ht="14.25" customHeight="1">
      <c r="A713" s="40"/>
    </row>
    <row r="714" ht="14.25" customHeight="1">
      <c r="A714" s="40"/>
    </row>
    <row r="715" ht="14.25" customHeight="1">
      <c r="A715" s="40"/>
    </row>
    <row r="716" ht="14.25" customHeight="1">
      <c r="A716" s="40"/>
    </row>
    <row r="717" ht="14.25" customHeight="1">
      <c r="A717" s="40"/>
    </row>
    <row r="718" ht="14.25" customHeight="1">
      <c r="A718" s="40"/>
    </row>
    <row r="719" ht="14.25" customHeight="1">
      <c r="A719" s="40"/>
    </row>
    <row r="720" ht="14.25" customHeight="1">
      <c r="A720" s="40"/>
    </row>
    <row r="721" ht="14.25" customHeight="1">
      <c r="A721" s="40"/>
    </row>
    <row r="722" ht="14.25" customHeight="1">
      <c r="A722" s="40"/>
    </row>
    <row r="723" ht="14.25" customHeight="1">
      <c r="A723" s="40"/>
    </row>
    <row r="724" ht="14.25" customHeight="1">
      <c r="A724" s="40"/>
    </row>
    <row r="725" ht="14.25" customHeight="1">
      <c r="A725" s="40"/>
    </row>
    <row r="726" ht="14.25" customHeight="1">
      <c r="A726" s="40"/>
    </row>
    <row r="727" ht="14.25" customHeight="1">
      <c r="A727" s="40"/>
    </row>
    <row r="728" ht="14.25" customHeight="1">
      <c r="A728" s="40"/>
    </row>
    <row r="729" ht="14.25" customHeight="1">
      <c r="A729" s="40"/>
    </row>
    <row r="730" ht="14.25" customHeight="1">
      <c r="A730" s="40"/>
    </row>
    <row r="731" ht="14.25" customHeight="1">
      <c r="A731" s="40"/>
    </row>
    <row r="732" ht="14.25" customHeight="1">
      <c r="A732" s="40"/>
    </row>
    <row r="733" ht="14.25" customHeight="1">
      <c r="A733" s="40"/>
    </row>
    <row r="734" ht="14.25" customHeight="1">
      <c r="A734" s="40"/>
    </row>
    <row r="735" ht="14.25" customHeight="1">
      <c r="A735" s="40"/>
    </row>
    <row r="736" ht="14.25" customHeight="1">
      <c r="A736" s="40"/>
    </row>
    <row r="737" ht="14.25" customHeight="1">
      <c r="A737" s="40"/>
    </row>
    <row r="738" ht="14.25" customHeight="1">
      <c r="A738" s="40"/>
    </row>
    <row r="739" ht="14.25" customHeight="1">
      <c r="A739" s="40"/>
    </row>
    <row r="740" ht="14.25" customHeight="1">
      <c r="A740" s="40"/>
    </row>
    <row r="741" ht="14.25" customHeight="1">
      <c r="A741" s="40"/>
    </row>
    <row r="742" ht="14.25" customHeight="1">
      <c r="A742" s="40"/>
    </row>
    <row r="743" ht="14.25" customHeight="1">
      <c r="A743" s="40"/>
    </row>
    <row r="744" ht="14.25" customHeight="1">
      <c r="A744" s="40"/>
    </row>
    <row r="745" ht="14.25" customHeight="1">
      <c r="A745" s="40"/>
    </row>
    <row r="746" ht="14.25" customHeight="1">
      <c r="A746" s="40"/>
    </row>
    <row r="747" ht="14.25" customHeight="1">
      <c r="A747" s="40"/>
    </row>
    <row r="748" ht="14.25" customHeight="1">
      <c r="A748" s="40"/>
    </row>
    <row r="749" ht="14.25" customHeight="1">
      <c r="A749" s="40"/>
    </row>
    <row r="750" ht="14.25" customHeight="1">
      <c r="A750" s="40"/>
    </row>
    <row r="751" ht="14.25" customHeight="1">
      <c r="A751" s="40"/>
    </row>
    <row r="752" ht="14.25" customHeight="1">
      <c r="A752" s="40"/>
    </row>
    <row r="753" ht="14.25" customHeight="1">
      <c r="A753" s="40"/>
    </row>
    <row r="754" ht="14.25" customHeight="1">
      <c r="A754" s="40"/>
    </row>
    <row r="755" ht="14.25" customHeight="1">
      <c r="A755" s="40"/>
    </row>
    <row r="756" ht="14.25" customHeight="1">
      <c r="A756" s="40"/>
    </row>
    <row r="757" ht="14.25" customHeight="1">
      <c r="A757" s="40"/>
    </row>
    <row r="758" ht="14.25" customHeight="1">
      <c r="A758" s="40"/>
    </row>
    <row r="759" ht="14.25" customHeight="1">
      <c r="A759" s="40"/>
    </row>
    <row r="760" ht="14.25" customHeight="1">
      <c r="A760" s="40"/>
    </row>
    <row r="761" ht="14.25" customHeight="1">
      <c r="A761" s="40"/>
    </row>
    <row r="762" ht="14.25" customHeight="1">
      <c r="A762" s="40"/>
    </row>
    <row r="763" ht="14.25" customHeight="1">
      <c r="A763" s="40"/>
    </row>
    <row r="764" ht="14.25" customHeight="1">
      <c r="A764" s="40"/>
    </row>
    <row r="765" ht="14.25" customHeight="1">
      <c r="A765" s="40"/>
    </row>
    <row r="766" ht="14.25" customHeight="1">
      <c r="A766" s="40"/>
    </row>
    <row r="767" ht="14.25" customHeight="1">
      <c r="A767" s="40"/>
    </row>
    <row r="768" ht="14.25" customHeight="1">
      <c r="A768" s="40"/>
    </row>
    <row r="769" ht="14.25" customHeight="1">
      <c r="A769" s="40"/>
    </row>
    <row r="770" ht="14.25" customHeight="1">
      <c r="A770" s="40"/>
    </row>
    <row r="771" ht="14.25" customHeight="1">
      <c r="A771" s="40"/>
    </row>
    <row r="772" ht="14.25" customHeight="1">
      <c r="A772" s="40"/>
    </row>
    <row r="773" ht="14.25" customHeight="1">
      <c r="A773" s="40"/>
    </row>
    <row r="774" ht="14.25" customHeight="1">
      <c r="A774" s="40"/>
    </row>
    <row r="775" ht="14.25" customHeight="1">
      <c r="A775" s="40"/>
    </row>
    <row r="776" ht="14.25" customHeight="1">
      <c r="A776" s="40"/>
    </row>
    <row r="777" ht="14.25" customHeight="1">
      <c r="A777" s="40"/>
    </row>
    <row r="778" ht="14.25" customHeight="1">
      <c r="A778" s="40"/>
    </row>
    <row r="779" ht="14.25" customHeight="1">
      <c r="A779" s="40"/>
    </row>
    <row r="780" ht="14.25" customHeight="1">
      <c r="A780" s="40"/>
    </row>
    <row r="781" ht="14.25" customHeight="1">
      <c r="A781" s="40"/>
    </row>
    <row r="782" ht="14.25" customHeight="1">
      <c r="A782" s="40"/>
    </row>
    <row r="783" ht="14.25" customHeight="1">
      <c r="A783" s="40"/>
    </row>
    <row r="784" ht="14.25" customHeight="1">
      <c r="A784" s="40"/>
    </row>
    <row r="785" ht="14.25" customHeight="1">
      <c r="A785" s="40"/>
    </row>
    <row r="786" ht="14.25" customHeight="1">
      <c r="A786" s="40"/>
    </row>
    <row r="787" ht="14.25" customHeight="1">
      <c r="A787" s="40"/>
    </row>
    <row r="788" ht="14.25" customHeight="1">
      <c r="A788" s="40"/>
    </row>
    <row r="789" ht="14.25" customHeight="1">
      <c r="A789" s="40"/>
    </row>
    <row r="790" ht="14.25" customHeight="1">
      <c r="A790" s="40"/>
    </row>
    <row r="791" ht="14.25" customHeight="1">
      <c r="A791" s="40"/>
    </row>
    <row r="792" ht="14.25" customHeight="1">
      <c r="A792" s="40"/>
    </row>
    <row r="793" ht="14.25" customHeight="1">
      <c r="A793" s="40"/>
    </row>
    <row r="794" ht="14.25" customHeight="1">
      <c r="A794" s="40"/>
    </row>
    <row r="795" ht="14.25" customHeight="1">
      <c r="A795" s="40"/>
    </row>
    <row r="796" ht="14.25" customHeight="1">
      <c r="A796" s="40"/>
    </row>
    <row r="797" ht="14.25" customHeight="1">
      <c r="A797" s="40"/>
    </row>
    <row r="798" ht="14.25" customHeight="1">
      <c r="A798" s="40"/>
    </row>
    <row r="799" ht="14.25" customHeight="1">
      <c r="A799" s="40"/>
    </row>
    <row r="800" ht="14.25" customHeight="1">
      <c r="A800" s="40"/>
    </row>
    <row r="801" ht="14.25" customHeight="1">
      <c r="A801" s="40"/>
    </row>
    <row r="802" ht="14.25" customHeight="1">
      <c r="A802" s="40"/>
    </row>
    <row r="803" ht="14.25" customHeight="1">
      <c r="A803" s="40"/>
    </row>
    <row r="804" ht="14.25" customHeight="1">
      <c r="A804" s="40"/>
    </row>
    <row r="805" ht="14.25" customHeight="1">
      <c r="A805" s="40"/>
    </row>
    <row r="806" ht="14.25" customHeight="1">
      <c r="A806" s="40"/>
    </row>
    <row r="807" ht="14.25" customHeight="1">
      <c r="A807" s="40"/>
    </row>
    <row r="808" ht="14.25" customHeight="1">
      <c r="A808" s="40"/>
    </row>
    <row r="809" ht="14.25" customHeight="1">
      <c r="A809" s="40"/>
    </row>
    <row r="810" ht="14.25" customHeight="1">
      <c r="A810" s="40"/>
    </row>
    <row r="811" ht="14.25" customHeight="1">
      <c r="A811" s="40"/>
    </row>
    <row r="812" ht="14.25" customHeight="1">
      <c r="A812" s="40"/>
    </row>
    <row r="813" ht="14.25" customHeight="1">
      <c r="A813" s="40"/>
    </row>
    <row r="814" ht="14.25" customHeight="1">
      <c r="A814" s="40"/>
    </row>
    <row r="815" ht="14.25" customHeight="1">
      <c r="A815" s="40"/>
    </row>
    <row r="816" ht="14.25" customHeight="1">
      <c r="A816" s="40"/>
    </row>
    <row r="817" ht="14.25" customHeight="1">
      <c r="A817" s="40"/>
    </row>
    <row r="818" ht="14.25" customHeight="1">
      <c r="A818" s="40"/>
    </row>
    <row r="819" ht="14.25" customHeight="1">
      <c r="A819" s="40"/>
    </row>
    <row r="820" ht="14.25" customHeight="1">
      <c r="A820" s="40"/>
    </row>
    <row r="821" ht="14.25" customHeight="1">
      <c r="A821" s="40"/>
    </row>
    <row r="822" ht="14.25" customHeight="1">
      <c r="A822" s="40"/>
    </row>
    <row r="823" ht="14.25" customHeight="1">
      <c r="A823" s="40"/>
    </row>
    <row r="824" ht="14.25" customHeight="1">
      <c r="A824" s="40"/>
    </row>
    <row r="825" ht="14.25" customHeight="1">
      <c r="A825" s="40"/>
    </row>
    <row r="826" ht="14.25" customHeight="1">
      <c r="A826" s="40"/>
    </row>
    <row r="827" ht="14.25" customHeight="1">
      <c r="A827" s="40"/>
    </row>
    <row r="828" ht="14.25" customHeight="1">
      <c r="A828" s="40"/>
    </row>
    <row r="829" ht="14.25" customHeight="1">
      <c r="A829" s="40"/>
    </row>
    <row r="830" ht="14.25" customHeight="1">
      <c r="A830" s="40"/>
    </row>
    <row r="831" ht="14.25" customHeight="1">
      <c r="A831" s="40"/>
    </row>
    <row r="832" ht="14.25" customHeight="1">
      <c r="A832" s="40"/>
    </row>
    <row r="833" ht="14.25" customHeight="1">
      <c r="A833" s="40"/>
    </row>
    <row r="834" ht="14.25" customHeight="1">
      <c r="A834" s="40"/>
    </row>
    <row r="835" ht="14.25" customHeight="1">
      <c r="A835" s="40"/>
    </row>
    <row r="836" ht="14.25" customHeight="1">
      <c r="A836" s="40"/>
    </row>
    <row r="837" ht="14.25" customHeight="1">
      <c r="A837" s="40"/>
    </row>
    <row r="838" ht="14.25" customHeight="1">
      <c r="A838" s="40"/>
    </row>
    <row r="839" ht="14.25" customHeight="1">
      <c r="A839" s="40"/>
    </row>
    <row r="840" ht="14.25" customHeight="1">
      <c r="A840" s="40"/>
    </row>
    <row r="841" ht="14.25" customHeight="1">
      <c r="A841" s="40"/>
    </row>
    <row r="842" ht="14.25" customHeight="1">
      <c r="A842" s="40"/>
    </row>
    <row r="843" ht="14.25" customHeight="1">
      <c r="A843" s="40"/>
    </row>
    <row r="844" ht="14.25" customHeight="1">
      <c r="A844" s="40"/>
    </row>
    <row r="845" ht="14.25" customHeight="1">
      <c r="A845" s="40"/>
    </row>
    <row r="846" ht="14.25" customHeight="1">
      <c r="A846" s="40"/>
    </row>
    <row r="847" ht="14.25" customHeight="1">
      <c r="A847" s="40"/>
    </row>
    <row r="848" ht="14.25" customHeight="1">
      <c r="A848" s="40"/>
    </row>
    <row r="849" ht="14.25" customHeight="1">
      <c r="A849" s="40"/>
    </row>
    <row r="850" ht="14.25" customHeight="1">
      <c r="A850" s="40"/>
    </row>
    <row r="851" ht="14.25" customHeight="1">
      <c r="A851" s="40"/>
    </row>
    <row r="852" ht="14.25" customHeight="1">
      <c r="A852" s="40"/>
    </row>
    <row r="853" ht="14.25" customHeight="1">
      <c r="A853" s="40"/>
    </row>
    <row r="854" ht="14.25" customHeight="1">
      <c r="A854" s="40"/>
    </row>
    <row r="855" ht="14.25" customHeight="1">
      <c r="A855" s="40"/>
    </row>
    <row r="856" ht="14.25" customHeight="1">
      <c r="A856" s="40"/>
    </row>
    <row r="857" ht="14.25" customHeight="1">
      <c r="A857" s="40"/>
    </row>
    <row r="858" ht="14.25" customHeight="1">
      <c r="A858" s="40"/>
    </row>
    <row r="859" ht="14.25" customHeight="1">
      <c r="A859" s="40"/>
    </row>
    <row r="860" ht="14.25" customHeight="1">
      <c r="A860" s="40"/>
    </row>
    <row r="861" ht="14.25" customHeight="1">
      <c r="A861" s="40"/>
    </row>
    <row r="862" ht="14.25" customHeight="1">
      <c r="A862" s="40"/>
    </row>
    <row r="863" ht="14.25" customHeight="1">
      <c r="A863" s="40"/>
    </row>
    <row r="864" ht="14.25" customHeight="1">
      <c r="A864" s="40"/>
    </row>
    <row r="865" ht="14.25" customHeight="1">
      <c r="A865" s="40"/>
    </row>
    <row r="866" ht="14.25" customHeight="1">
      <c r="A866" s="40"/>
    </row>
    <row r="867" ht="14.25" customHeight="1">
      <c r="A867" s="40"/>
    </row>
    <row r="868" ht="14.25" customHeight="1">
      <c r="A868" s="40"/>
    </row>
    <row r="869" ht="14.25" customHeight="1">
      <c r="A869" s="40"/>
    </row>
    <row r="870" ht="14.25" customHeight="1">
      <c r="A870" s="40"/>
    </row>
    <row r="871" ht="14.25" customHeight="1">
      <c r="A871" s="40"/>
    </row>
    <row r="872" ht="14.25" customHeight="1">
      <c r="A872" s="40"/>
    </row>
    <row r="873" ht="14.25" customHeight="1">
      <c r="A873" s="40"/>
    </row>
    <row r="874" ht="14.25" customHeight="1">
      <c r="A874" s="40"/>
    </row>
    <row r="875" ht="14.25" customHeight="1">
      <c r="A875" s="40"/>
    </row>
    <row r="876" ht="14.25" customHeight="1">
      <c r="A876" s="40"/>
    </row>
    <row r="877" ht="14.25" customHeight="1">
      <c r="A877" s="40"/>
    </row>
    <row r="878" ht="14.25" customHeight="1">
      <c r="A878" s="40"/>
    </row>
    <row r="879" ht="14.25" customHeight="1">
      <c r="A879" s="40"/>
    </row>
    <row r="880" ht="14.25" customHeight="1">
      <c r="A880" s="40"/>
    </row>
    <row r="881" ht="14.25" customHeight="1">
      <c r="A881" s="40"/>
    </row>
    <row r="882" ht="14.25" customHeight="1">
      <c r="A882" s="40"/>
    </row>
    <row r="883" ht="14.25" customHeight="1">
      <c r="A883" s="40"/>
    </row>
    <row r="884" ht="14.25" customHeight="1">
      <c r="A884" s="40"/>
    </row>
    <row r="885" ht="14.25" customHeight="1">
      <c r="A885" s="40"/>
    </row>
    <row r="886" ht="14.25" customHeight="1">
      <c r="A886" s="40"/>
    </row>
    <row r="887" ht="14.25" customHeight="1">
      <c r="A887" s="40"/>
    </row>
    <row r="888" ht="14.25" customHeight="1">
      <c r="A888" s="40"/>
    </row>
    <row r="889" ht="14.25" customHeight="1">
      <c r="A889" s="40"/>
    </row>
    <row r="890" ht="14.25" customHeight="1">
      <c r="A890" s="40"/>
    </row>
    <row r="891" ht="14.25" customHeight="1">
      <c r="A891" s="40"/>
    </row>
    <row r="892" ht="14.25" customHeight="1">
      <c r="A892" s="40"/>
    </row>
    <row r="893" ht="14.25" customHeight="1">
      <c r="A893" s="40"/>
    </row>
    <row r="894" ht="14.25" customHeight="1">
      <c r="A894" s="40"/>
    </row>
    <row r="895" ht="14.25" customHeight="1">
      <c r="A895" s="40"/>
    </row>
    <row r="896" ht="14.25" customHeight="1">
      <c r="A896" s="40"/>
    </row>
    <row r="897" ht="14.25" customHeight="1">
      <c r="A897" s="40"/>
    </row>
    <row r="898" ht="14.25" customHeight="1">
      <c r="A898" s="40"/>
    </row>
    <row r="899" ht="14.25" customHeight="1">
      <c r="A899" s="40"/>
    </row>
    <row r="900" ht="14.25" customHeight="1">
      <c r="A900" s="40"/>
    </row>
    <row r="901" ht="14.25" customHeight="1">
      <c r="A901" s="40"/>
    </row>
    <row r="902" ht="14.25" customHeight="1">
      <c r="A902" s="40"/>
    </row>
    <row r="903" ht="14.25" customHeight="1">
      <c r="A903" s="40"/>
    </row>
    <row r="904" ht="14.25" customHeight="1">
      <c r="A904" s="40"/>
    </row>
    <row r="905" ht="14.25" customHeight="1">
      <c r="A905" s="40"/>
    </row>
    <row r="906" ht="14.25" customHeight="1">
      <c r="A906" s="40"/>
    </row>
    <row r="907" ht="14.25" customHeight="1">
      <c r="A907" s="40"/>
    </row>
    <row r="908" ht="14.25" customHeight="1">
      <c r="A908" s="40"/>
    </row>
    <row r="909" ht="14.25" customHeight="1">
      <c r="A909" s="40"/>
    </row>
    <row r="910" ht="14.25" customHeight="1">
      <c r="A910" s="40"/>
    </row>
    <row r="911" ht="14.25" customHeight="1">
      <c r="A911" s="40"/>
    </row>
    <row r="912" ht="14.25" customHeight="1">
      <c r="A912" s="40"/>
    </row>
    <row r="913" ht="14.25" customHeight="1">
      <c r="A913" s="40"/>
    </row>
    <row r="914" ht="14.25" customHeight="1">
      <c r="A914" s="40"/>
    </row>
    <row r="915" ht="14.25" customHeight="1">
      <c r="A915" s="40"/>
    </row>
    <row r="916" ht="14.25" customHeight="1">
      <c r="A916" s="40"/>
    </row>
    <row r="917" ht="14.25" customHeight="1">
      <c r="A917" s="40"/>
    </row>
    <row r="918" ht="14.25" customHeight="1">
      <c r="A918" s="40"/>
    </row>
    <row r="919" ht="14.25" customHeight="1">
      <c r="A919" s="40"/>
    </row>
    <row r="920" ht="14.25" customHeight="1">
      <c r="A920" s="40"/>
    </row>
    <row r="921" ht="14.25" customHeight="1">
      <c r="A921" s="40"/>
    </row>
    <row r="922" ht="14.25" customHeight="1">
      <c r="A922" s="40"/>
    </row>
    <row r="923" ht="14.25" customHeight="1">
      <c r="A923" s="40"/>
    </row>
    <row r="924" ht="14.25" customHeight="1">
      <c r="A924" s="40"/>
    </row>
    <row r="925" ht="14.25" customHeight="1">
      <c r="A925" s="40"/>
    </row>
    <row r="926" ht="14.25" customHeight="1">
      <c r="A926" s="40"/>
    </row>
    <row r="927" ht="14.25" customHeight="1">
      <c r="A927" s="40"/>
    </row>
    <row r="928" ht="14.25" customHeight="1">
      <c r="A928" s="40"/>
    </row>
    <row r="929" ht="14.25" customHeight="1">
      <c r="A929" s="40"/>
    </row>
    <row r="930" ht="14.25" customHeight="1">
      <c r="A930" s="40"/>
    </row>
    <row r="931" ht="14.25" customHeight="1">
      <c r="A931" s="40"/>
    </row>
    <row r="932" ht="14.25" customHeight="1">
      <c r="A932" s="40"/>
    </row>
    <row r="933" ht="14.25" customHeight="1">
      <c r="A933" s="40"/>
    </row>
    <row r="934" ht="14.25" customHeight="1">
      <c r="A934" s="40"/>
    </row>
    <row r="935" ht="14.25" customHeight="1">
      <c r="A935" s="40"/>
    </row>
    <row r="936" ht="14.25" customHeight="1">
      <c r="A936" s="40"/>
    </row>
    <row r="937" ht="14.25" customHeight="1">
      <c r="A937" s="40"/>
    </row>
    <row r="938" ht="14.25" customHeight="1">
      <c r="A938" s="40"/>
    </row>
    <row r="939" ht="14.25" customHeight="1">
      <c r="A939" s="40"/>
    </row>
    <row r="940" ht="14.25" customHeight="1">
      <c r="A940" s="40"/>
    </row>
    <row r="941" ht="14.25" customHeight="1">
      <c r="A941" s="40"/>
    </row>
    <row r="942" ht="14.25" customHeight="1">
      <c r="A942" s="40"/>
    </row>
    <row r="943" ht="14.25" customHeight="1">
      <c r="A943" s="40"/>
    </row>
    <row r="944" ht="14.25" customHeight="1">
      <c r="A944" s="40"/>
    </row>
    <row r="945" ht="14.25" customHeight="1">
      <c r="A945" s="40"/>
    </row>
    <row r="946" ht="14.25" customHeight="1">
      <c r="A946" s="40"/>
    </row>
    <row r="947" ht="14.25" customHeight="1">
      <c r="A947" s="40"/>
    </row>
    <row r="948" ht="14.25" customHeight="1">
      <c r="A948" s="40"/>
    </row>
    <row r="949" ht="14.25" customHeight="1">
      <c r="A949" s="40"/>
    </row>
    <row r="950" ht="14.25" customHeight="1">
      <c r="A950" s="40"/>
    </row>
    <row r="951" ht="14.25" customHeight="1">
      <c r="A951" s="40"/>
    </row>
    <row r="952" ht="14.25" customHeight="1">
      <c r="A952" s="40"/>
    </row>
    <row r="953" ht="14.25" customHeight="1">
      <c r="A953" s="40"/>
    </row>
    <row r="954" ht="14.25" customHeight="1">
      <c r="A954" s="40"/>
    </row>
    <row r="955" ht="14.25" customHeight="1">
      <c r="A955" s="40"/>
    </row>
    <row r="956" ht="14.25" customHeight="1">
      <c r="A956" s="40"/>
    </row>
    <row r="957" ht="14.25" customHeight="1">
      <c r="A957" s="40"/>
    </row>
    <row r="958" ht="14.25" customHeight="1">
      <c r="A958" s="40"/>
    </row>
    <row r="959" ht="14.25" customHeight="1">
      <c r="A959" s="40"/>
    </row>
    <row r="960" ht="14.25" customHeight="1">
      <c r="A960" s="40"/>
    </row>
    <row r="961" ht="14.25" customHeight="1">
      <c r="A961" s="40"/>
    </row>
    <row r="962" ht="14.25" customHeight="1">
      <c r="A962" s="40"/>
    </row>
    <row r="963" ht="14.25" customHeight="1">
      <c r="A963" s="40"/>
    </row>
    <row r="964" ht="14.25" customHeight="1">
      <c r="A964" s="40"/>
    </row>
    <row r="965" ht="14.25" customHeight="1">
      <c r="A965" s="40"/>
    </row>
    <row r="966" ht="14.25" customHeight="1">
      <c r="A966" s="40"/>
    </row>
    <row r="967" ht="14.25" customHeight="1">
      <c r="A967" s="40"/>
    </row>
    <row r="968" ht="14.25" customHeight="1">
      <c r="A968" s="40"/>
    </row>
    <row r="969" ht="14.25" customHeight="1">
      <c r="A969" s="40"/>
    </row>
    <row r="970" ht="14.25" customHeight="1">
      <c r="A970" s="40"/>
    </row>
    <row r="971" ht="14.25" customHeight="1">
      <c r="A971" s="40"/>
    </row>
    <row r="972" ht="14.25" customHeight="1">
      <c r="A972" s="40"/>
    </row>
    <row r="973" ht="14.25" customHeight="1">
      <c r="A973" s="40"/>
    </row>
    <row r="974" ht="14.25" customHeight="1">
      <c r="A974" s="40"/>
    </row>
    <row r="975" ht="14.25" customHeight="1">
      <c r="A975" s="40"/>
    </row>
    <row r="976" ht="14.25" customHeight="1">
      <c r="A976" s="40"/>
    </row>
    <row r="977" ht="14.25" customHeight="1">
      <c r="A977" s="40"/>
    </row>
    <row r="978" ht="14.25" customHeight="1">
      <c r="A978" s="40"/>
    </row>
    <row r="979" ht="14.25" customHeight="1">
      <c r="A979" s="40"/>
    </row>
    <row r="980" ht="14.25" customHeight="1">
      <c r="A980" s="40"/>
    </row>
    <row r="981" ht="14.25" customHeight="1">
      <c r="A981" s="40"/>
    </row>
  </sheetData>
  <mergeCells count="2">
    <mergeCell ref="C1:I1"/>
    <mergeCell ref="H12:I20"/>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9.14"/>
    <col customWidth="1" min="2" max="2" width="44.0"/>
    <col customWidth="1" min="3" max="4" width="12.0"/>
    <col customWidth="1" min="5" max="5" width="16.71"/>
    <col customWidth="1" min="6" max="6" width="12.0"/>
    <col customWidth="1" min="7" max="7" width="13.29"/>
    <col customWidth="1" min="8" max="8" width="20.43"/>
    <col customWidth="1" min="9" max="9" width="17.14"/>
    <col customWidth="1" min="10" max="10" width="12.0"/>
    <col customWidth="1" min="11" max="13" width="8.71"/>
  </cols>
  <sheetData>
    <row r="1" ht="14.25" customHeight="1">
      <c r="A1" s="40"/>
    </row>
    <row r="2" ht="14.25" customHeight="1">
      <c r="A2" s="14" t="s">
        <v>37</v>
      </c>
      <c r="B2" s="14" t="s">
        <v>5</v>
      </c>
      <c r="C2" s="14" t="str">
        <f>'Raw Data'!B2</f>
        <v>Sterilization</v>
      </c>
      <c r="D2" s="14" t="str">
        <f>'Raw Data'!C2</f>
        <v>Durability</v>
      </c>
      <c r="E2" s="14" t="str">
        <f>'Raw Data'!D2</f>
        <v>Ease of Assembly</v>
      </c>
      <c r="F2" s="14" t="str">
        <f>'Raw Data'!E2</f>
        <v>Leakage</v>
      </c>
      <c r="G2" s="14" t="str">
        <f>'Raw Data'!F2</f>
        <v>Flow Control</v>
      </c>
      <c r="H2" s="14" t="str">
        <f>'Raw Data'!G2</f>
        <v>Filter Compatability</v>
      </c>
      <c r="I2" s="14" t="str">
        <f>'Raw Data'!H2</f>
        <v>Filter Surface Area</v>
      </c>
      <c r="J2" s="14" t="s">
        <v>32</v>
      </c>
    </row>
    <row r="3" ht="14.25" customHeight="1">
      <c r="A3" s="38">
        <v>1.0</v>
      </c>
      <c r="B3" s="60" t="str">
        <f>IFERROR( VLOOKUP($A3,'Calc - Weighted'!$A$3:$J$8,2,FALSE), VLOOKUP($A3,'Calc - Weighted'!$A$3:$J$8,2,TRUE) )</f>
        <v>Filter in bottom chamber, two chamber, screw in</v>
      </c>
      <c r="C3" s="37">
        <f>IFERROR( VLOOKUP($A3,'Calc - Weighted'!$A$3:$J$8,3,FALSE), VLOOKUP($A3,'Calc - Weighted'!$A$3:$J$8,3,TRUE) )</f>
        <v>11.25</v>
      </c>
      <c r="D3" s="37">
        <f>IFERROR( VLOOKUP($A3,'Calc - Weighted'!$A$3:$J$8,4,FALSE), VLOOKUP($A3,'Calc - Weighted'!$A$3:$J$8,4,TRUE) )</f>
        <v>0</v>
      </c>
      <c r="E3" s="37">
        <f>IFERROR( VLOOKUP($A3,'Calc - Weighted'!$A$3:$J$8,5,FALSE), VLOOKUP($A3,'Calc - Weighted'!$A$3:$J$8,5,TRUE) )</f>
        <v>10</v>
      </c>
      <c r="F3" s="37">
        <f>IFERROR( VLOOKUP($A3,'Calc - Weighted'!$A$3:$J$8,6,FALSE), VLOOKUP($A3,'Calc - Weighted'!$A$3:$J$8,6,TRUE) )</f>
        <v>5.714285714</v>
      </c>
      <c r="G3" s="37">
        <f>IFERROR( VLOOKUP($A3,'Calc - Weighted'!$A$3:$J$8,7,FALSE), VLOOKUP($A3,'Calc - Weighted'!$A$3:$J$8,7,TRUE) )</f>
        <v>6.666666667</v>
      </c>
      <c r="H3" s="37">
        <f>IFERROR( VLOOKUP($A3,'Calc - Weighted'!$A$3:$J$8,8,FALSE), VLOOKUP($A3,'Calc - Weighted'!$A$3:$J$8,8,TRUE) )</f>
        <v>20</v>
      </c>
      <c r="I3" s="37">
        <f>IFERROR( VLOOKUP($A3,'Calc - Weighted'!$A$3:$J$8,9,FALSE), VLOOKUP($A3,'Calc - Weighted'!$A$3:$J$8,9,TRUE) )</f>
        <v>20</v>
      </c>
      <c r="J3" s="37">
        <f t="shared" ref="J3:J8" si="1">SUM(C3:I3)</f>
        <v>73.63095238</v>
      </c>
    </row>
    <row r="4" ht="14.25" customHeight="1">
      <c r="A4" s="38">
        <v>2.0</v>
      </c>
      <c r="B4" s="60" t="str">
        <f>IFERROR( VLOOKUP($A4,'Calc - Weighted'!$A$3:$J$8,2,FALSE), VLOOKUP($A4,'Calc - Weighted'!$A$3:$J$8,2,TRUE) )</f>
        <v>Filter in bottom chamber, two chamber, clamp in</v>
      </c>
      <c r="C4" s="37">
        <f>IFERROR( VLOOKUP($A4,'Calc - Weighted'!$A$3:$J$8,3,FALSE), VLOOKUP($A4,'Calc - Weighted'!$A$3:$J$8,3,TRUE) )</f>
        <v>15</v>
      </c>
      <c r="D4" s="37">
        <f>IFERROR( VLOOKUP($A4,'Calc - Weighted'!$A$3:$J$8,4,FALSE), VLOOKUP($A4,'Calc - Weighted'!$A$3:$J$8,4,TRUE) )</f>
        <v>6.666666667</v>
      </c>
      <c r="E4" s="37">
        <f>IFERROR( VLOOKUP($A4,'Calc - Weighted'!$A$3:$J$8,5,FALSE), VLOOKUP($A4,'Calc - Weighted'!$A$3:$J$8,5,TRUE) )</f>
        <v>3.333333333</v>
      </c>
      <c r="F4" s="37">
        <f>IFERROR( VLOOKUP($A4,'Calc - Weighted'!$A$3:$J$8,6,FALSE), VLOOKUP($A4,'Calc - Weighted'!$A$3:$J$8,6,TRUE) )</f>
        <v>0</v>
      </c>
      <c r="G4" s="37">
        <f>IFERROR( VLOOKUP($A4,'Calc - Weighted'!$A$3:$J$8,7,FALSE), VLOOKUP($A4,'Calc - Weighted'!$A$3:$J$8,7,TRUE) )</f>
        <v>6.666666667</v>
      </c>
      <c r="H4" s="37">
        <f>IFERROR( VLOOKUP($A4,'Calc - Weighted'!$A$3:$J$8,8,FALSE), VLOOKUP($A4,'Calc - Weighted'!$A$3:$J$8,8,TRUE) )</f>
        <v>20</v>
      </c>
      <c r="I4" s="37">
        <f>IFERROR( VLOOKUP($A4,'Calc - Weighted'!$A$3:$J$8,9,FALSE), VLOOKUP($A4,'Calc - Weighted'!$A$3:$J$8,9,TRUE) )</f>
        <v>20</v>
      </c>
      <c r="J4" s="37">
        <f t="shared" si="1"/>
        <v>71.66666667</v>
      </c>
    </row>
    <row r="5" ht="14.25" customHeight="1">
      <c r="A5" s="38">
        <v>3.0</v>
      </c>
      <c r="B5" s="60" t="str">
        <f>IFERROR( VLOOKUP($A5,'Calc - Weighted'!$A$3:$J$8,2,FALSE), VLOOKUP($A5,'Calc - Weighted'!$A$3:$J$8,2,TRUE) )</f>
        <v>Single chamber, cone filter</v>
      </c>
      <c r="C5" s="37">
        <f>IFERROR( VLOOKUP($A5,'Calc - Weighted'!$A$3:$J$8,3,FALSE), VLOOKUP($A5,'Calc - Weighted'!$A$3:$J$8,3,TRUE) )</f>
        <v>0</v>
      </c>
      <c r="D5" s="37">
        <f>IFERROR( VLOOKUP($A5,'Calc - Weighted'!$A$3:$J$8,4,FALSE), VLOOKUP($A5,'Calc - Weighted'!$A$3:$J$8,4,TRUE) )</f>
        <v>7.777777778</v>
      </c>
      <c r="E5" s="37">
        <f>IFERROR( VLOOKUP($A5,'Calc - Weighted'!$A$3:$J$8,5,FALSE), VLOOKUP($A5,'Calc - Weighted'!$A$3:$J$8,5,TRUE) )</f>
        <v>15</v>
      </c>
      <c r="F5" s="37">
        <f>IFERROR( VLOOKUP($A5,'Calc - Weighted'!$A$3:$J$8,6,FALSE), VLOOKUP($A5,'Calc - Weighted'!$A$3:$J$8,6,TRUE) )</f>
        <v>10</v>
      </c>
      <c r="G5" s="37">
        <f>IFERROR( VLOOKUP($A5,'Calc - Weighted'!$A$3:$J$8,7,FALSE), VLOOKUP($A5,'Calc - Weighted'!$A$3:$J$8,7,TRUE) )</f>
        <v>10</v>
      </c>
      <c r="H5" s="37">
        <f>IFERROR( VLOOKUP($A5,'Calc - Weighted'!$A$3:$J$8,8,FALSE), VLOOKUP($A5,'Calc - Weighted'!$A$3:$J$8,8,TRUE) )</f>
        <v>0</v>
      </c>
      <c r="I5" s="37">
        <f>IFERROR( VLOOKUP($A5,'Calc - Weighted'!$A$3:$J$8,9,FALSE), VLOOKUP($A5,'Calc - Weighted'!$A$3:$J$8,9,TRUE) )</f>
        <v>20</v>
      </c>
      <c r="J5" s="37">
        <f t="shared" si="1"/>
        <v>62.77777778</v>
      </c>
    </row>
    <row r="6" ht="14.25" customHeight="1">
      <c r="A6" s="38">
        <v>4.0</v>
      </c>
      <c r="B6" s="60" t="str">
        <f>IFERROR( VLOOKUP($A6,'Calc - Weighted'!$A$3:$J$8,2,FALSE), VLOOKUP($A6,'Calc - Weighted'!$A$3:$J$8,2,TRUE) )</f>
        <v>Filter in spike, two chamber, screw in</v>
      </c>
      <c r="C6" s="37">
        <f>IFERROR( VLOOKUP($A6,'Calc - Weighted'!$A$3:$J$8,3,FALSE), VLOOKUP($A6,'Calc - Weighted'!$A$3:$J$8,3,TRUE) )</f>
        <v>7.5</v>
      </c>
      <c r="D6" s="37">
        <f>IFERROR( VLOOKUP($A6,'Calc - Weighted'!$A$3:$J$8,4,FALSE), VLOOKUP($A6,'Calc - Weighted'!$A$3:$J$8,4,TRUE) )</f>
        <v>0</v>
      </c>
      <c r="E6" s="37">
        <f>IFERROR( VLOOKUP($A6,'Calc - Weighted'!$A$3:$J$8,5,FALSE), VLOOKUP($A6,'Calc - Weighted'!$A$3:$J$8,5,TRUE) )</f>
        <v>6.666666667</v>
      </c>
      <c r="F6" s="37">
        <f>IFERROR( VLOOKUP($A6,'Calc - Weighted'!$A$3:$J$8,6,FALSE), VLOOKUP($A6,'Calc - Weighted'!$A$3:$J$8,6,TRUE) )</f>
        <v>5.714285714</v>
      </c>
      <c r="G6" s="37">
        <f>IFERROR( VLOOKUP($A6,'Calc - Weighted'!$A$3:$J$8,7,FALSE), VLOOKUP($A6,'Calc - Weighted'!$A$3:$J$8,7,TRUE) )</f>
        <v>0</v>
      </c>
      <c r="H6" s="37">
        <f>IFERROR( VLOOKUP($A6,'Calc - Weighted'!$A$3:$J$8,8,FALSE), VLOOKUP($A6,'Calc - Weighted'!$A$3:$J$8,8,TRUE) )</f>
        <v>20</v>
      </c>
      <c r="I6" s="37">
        <f>IFERROR( VLOOKUP($A6,'Calc - Weighted'!$A$3:$J$8,9,FALSE), VLOOKUP($A6,'Calc - Weighted'!$A$3:$J$8,9,TRUE) )</f>
        <v>20</v>
      </c>
      <c r="J6" s="37">
        <f t="shared" si="1"/>
        <v>59.88095238</v>
      </c>
    </row>
    <row r="7" ht="14.25" customHeight="1">
      <c r="A7" s="38">
        <v>5.0</v>
      </c>
      <c r="B7" s="60" t="str">
        <f>IFERROR( VLOOKUP($A7,'Calc - Weighted'!$A$3:$J$8,2,FALSE), VLOOKUP($A7,'Calc - Weighted'!$A$3:$J$8,2,TRUE) )</f>
        <v>Filter in spike, two chamber, clamp in</v>
      </c>
      <c r="C7" s="37">
        <f>IFERROR( VLOOKUP($A7,'Calc - Weighted'!$A$3:$J$8,3,FALSE), VLOOKUP($A7,'Calc - Weighted'!$A$3:$J$8,3,TRUE) )</f>
        <v>11.25</v>
      </c>
      <c r="D7" s="37">
        <f>IFERROR( VLOOKUP($A7,'Calc - Weighted'!$A$3:$J$8,4,FALSE), VLOOKUP($A7,'Calc - Weighted'!$A$3:$J$8,4,TRUE) )</f>
        <v>4.444444444</v>
      </c>
      <c r="E7" s="37">
        <f>IFERROR( VLOOKUP($A7,'Calc - Weighted'!$A$3:$J$8,5,FALSE), VLOOKUP($A7,'Calc - Weighted'!$A$3:$J$8,5,TRUE) )</f>
        <v>0</v>
      </c>
      <c r="F7" s="37">
        <f>IFERROR( VLOOKUP($A7,'Calc - Weighted'!$A$3:$J$8,6,FALSE), VLOOKUP($A7,'Calc - Weighted'!$A$3:$J$8,6,TRUE) )</f>
        <v>0</v>
      </c>
      <c r="G7" s="37">
        <f>IFERROR( VLOOKUP($A7,'Calc - Weighted'!$A$3:$J$8,7,FALSE), VLOOKUP($A7,'Calc - Weighted'!$A$3:$J$8,7,TRUE) )</f>
        <v>0</v>
      </c>
      <c r="H7" s="37">
        <f>IFERROR( VLOOKUP($A7,'Calc - Weighted'!$A$3:$J$8,8,FALSE), VLOOKUP($A7,'Calc - Weighted'!$A$3:$J$8,8,TRUE) )</f>
        <v>20</v>
      </c>
      <c r="I7" s="37">
        <f>IFERROR( VLOOKUP($A7,'Calc - Weighted'!$A$3:$J$8,9,FALSE), VLOOKUP($A7,'Calc - Weighted'!$A$3:$J$8,9,TRUE) )</f>
        <v>20</v>
      </c>
      <c r="J7" s="37">
        <f t="shared" si="1"/>
        <v>55.69444444</v>
      </c>
    </row>
    <row r="8" ht="14.25" customHeight="1">
      <c r="A8" s="38">
        <v>6.0</v>
      </c>
      <c r="B8" s="60" t="str">
        <f>IFERROR( VLOOKUP($A8,'Calc - Weighted'!$A$3:$J$8,2,FALSE), VLOOKUP($A8,'Calc - Weighted'!$A$3:$J$8,2,TRUE) )</f>
        <v>Single Chamber flat filter</v>
      </c>
      <c r="C8" s="37">
        <f>IFERROR( VLOOKUP($A8,'Calc - Weighted'!$A$3:$J$8,3,FALSE), VLOOKUP($A8,'Calc - Weighted'!$A$3:$J$8,3,TRUE) )</f>
        <v>3.75</v>
      </c>
      <c r="D8" s="37">
        <f>IFERROR( VLOOKUP($A8,'Calc - Weighted'!$A$3:$J$8,4,FALSE), VLOOKUP($A8,'Calc - Weighted'!$A$3:$J$8,4,TRUE) )</f>
        <v>10</v>
      </c>
      <c r="E8" s="37">
        <f>IFERROR( VLOOKUP($A8,'Calc - Weighted'!$A$3:$J$8,5,FALSE), VLOOKUP($A8,'Calc - Weighted'!$A$3:$J$8,5,TRUE) )</f>
        <v>15</v>
      </c>
      <c r="F8" s="37">
        <f>IFERROR( VLOOKUP($A8,'Calc - Weighted'!$A$3:$J$8,6,FALSE), VLOOKUP($A8,'Calc - Weighted'!$A$3:$J$8,6,TRUE) )</f>
        <v>10</v>
      </c>
      <c r="G8" s="37">
        <f>IFERROR( VLOOKUP($A8,'Calc - Weighted'!$A$3:$J$8,7,FALSE), VLOOKUP($A8,'Calc - Weighted'!$A$3:$J$8,7,TRUE) )</f>
        <v>10</v>
      </c>
      <c r="H8" s="37">
        <f>IFERROR( VLOOKUP($A8,'Calc - Weighted'!$A$3:$J$8,8,FALSE), VLOOKUP($A8,'Calc - Weighted'!$A$3:$J$8,8,TRUE) )</f>
        <v>6.666666667</v>
      </c>
      <c r="I8" s="37">
        <f>IFERROR( VLOOKUP($A8,'Calc - Weighted'!$A$3:$J$8,9,FALSE), VLOOKUP($A8,'Calc - Weighted'!$A$3:$J$8,9,TRUE) )</f>
        <v>0</v>
      </c>
      <c r="J8" s="37">
        <f t="shared" si="1"/>
        <v>55.41666667</v>
      </c>
    </row>
    <row r="9" ht="14.25" customHeight="1">
      <c r="A9" s="40"/>
      <c r="C9" s="61"/>
      <c r="D9" s="61"/>
      <c r="E9" s="61"/>
      <c r="F9" s="61"/>
      <c r="G9" s="61"/>
      <c r="H9" s="61"/>
      <c r="I9" s="61"/>
    </row>
    <row r="10" ht="14.25" customHeight="1">
      <c r="A10" s="40"/>
    </row>
    <row r="11" ht="15.0" customHeight="1">
      <c r="A11" s="40"/>
      <c r="G11" s="5" t="s">
        <v>40</v>
      </c>
      <c r="H11" s="6"/>
      <c r="I11" s="7"/>
    </row>
    <row r="12" ht="14.25" customHeight="1">
      <c r="A12" s="40"/>
      <c r="G12" s="9"/>
      <c r="I12" s="10"/>
    </row>
    <row r="13" ht="14.25" customHeight="1">
      <c r="A13" s="40"/>
      <c r="G13" s="9"/>
      <c r="I13" s="10"/>
    </row>
    <row r="14" ht="14.25" customHeight="1">
      <c r="A14" s="40"/>
      <c r="G14" s="9"/>
      <c r="I14" s="10"/>
    </row>
    <row r="15" ht="14.25" customHeight="1">
      <c r="A15" s="40"/>
      <c r="G15" s="9"/>
      <c r="I15" s="10"/>
    </row>
    <row r="16" ht="14.25" customHeight="1">
      <c r="A16" s="40"/>
      <c r="G16" s="9"/>
      <c r="I16" s="10"/>
    </row>
    <row r="17" ht="14.25" customHeight="1">
      <c r="A17" s="40"/>
      <c r="G17" s="9"/>
      <c r="I17" s="10"/>
    </row>
    <row r="18" ht="14.25" customHeight="1">
      <c r="A18" s="40"/>
      <c r="G18" s="9"/>
      <c r="I18" s="10"/>
    </row>
    <row r="19" ht="14.25" customHeight="1">
      <c r="A19" s="40"/>
      <c r="G19" s="11"/>
      <c r="H19" s="12"/>
      <c r="I19" s="13"/>
    </row>
    <row r="20" ht="14.25" customHeight="1">
      <c r="A20" s="40"/>
    </row>
    <row r="21" ht="14.25" customHeight="1">
      <c r="A21" s="40"/>
    </row>
    <row r="22" ht="14.25" customHeight="1">
      <c r="A22" s="40"/>
    </row>
    <row r="23" ht="14.25" customHeight="1">
      <c r="A23" s="40"/>
    </row>
    <row r="24" ht="14.25" customHeight="1">
      <c r="A24" s="40"/>
    </row>
    <row r="25" ht="14.25" customHeight="1">
      <c r="A25" s="40"/>
    </row>
    <row r="26" ht="14.25" customHeight="1">
      <c r="A26" s="40"/>
    </row>
    <row r="27" ht="14.25" customHeight="1">
      <c r="A27" s="40"/>
    </row>
    <row r="28" ht="14.25" customHeight="1">
      <c r="A28" s="40"/>
    </row>
    <row r="29" ht="14.25" customHeight="1">
      <c r="A29" s="40"/>
    </row>
    <row r="30" ht="14.25" customHeight="1">
      <c r="A30" s="40"/>
    </row>
    <row r="31" ht="14.25" customHeight="1">
      <c r="A31" s="40"/>
    </row>
    <row r="32" ht="14.25" customHeight="1">
      <c r="A32" s="40"/>
    </row>
    <row r="33" ht="14.25" customHeight="1">
      <c r="A33" s="40"/>
    </row>
    <row r="34" ht="14.25" customHeight="1">
      <c r="A34" s="40"/>
    </row>
    <row r="35" ht="14.25" customHeight="1">
      <c r="A35" s="40"/>
    </row>
    <row r="36" ht="14.25" customHeight="1">
      <c r="A36" s="40"/>
    </row>
    <row r="37" ht="14.25" customHeight="1">
      <c r="A37" s="40"/>
    </row>
    <row r="38" ht="14.25" customHeight="1">
      <c r="A38" s="40"/>
    </row>
    <row r="39" ht="14.25" customHeight="1">
      <c r="A39" s="40"/>
    </row>
    <row r="40" ht="14.25" customHeight="1">
      <c r="A40" s="40"/>
    </row>
    <row r="41" ht="14.25" customHeight="1">
      <c r="A41" s="40"/>
    </row>
    <row r="42" ht="14.25" customHeight="1">
      <c r="A42" s="40"/>
    </row>
    <row r="43" ht="14.25" customHeight="1">
      <c r="A43" s="40"/>
    </row>
    <row r="44" ht="14.25" customHeight="1">
      <c r="A44" s="40"/>
    </row>
    <row r="45" ht="14.25" customHeight="1">
      <c r="A45" s="40"/>
    </row>
    <row r="46" ht="14.25" customHeight="1">
      <c r="A46" s="40"/>
    </row>
    <row r="47" ht="14.25" customHeight="1">
      <c r="A47" s="40"/>
    </row>
    <row r="48" ht="14.25" customHeight="1">
      <c r="A48" s="40"/>
    </row>
    <row r="49" ht="14.25" customHeight="1">
      <c r="A49" s="40"/>
    </row>
    <row r="50" ht="14.25" customHeight="1">
      <c r="A50" s="40"/>
    </row>
    <row r="51" ht="14.25" customHeight="1">
      <c r="A51" s="40"/>
    </row>
    <row r="52" ht="14.25" customHeight="1">
      <c r="A52" s="40"/>
    </row>
    <row r="53" ht="14.25" customHeight="1">
      <c r="A53" s="40"/>
    </row>
    <row r="54" ht="14.25" customHeight="1">
      <c r="A54" s="40"/>
    </row>
    <row r="55" ht="14.25" customHeight="1">
      <c r="A55" s="40"/>
    </row>
    <row r="56" ht="14.25" customHeight="1">
      <c r="A56" s="40"/>
    </row>
    <row r="57" ht="14.25" customHeight="1">
      <c r="A57" s="40"/>
    </row>
    <row r="58" ht="14.25" customHeight="1">
      <c r="A58" s="40"/>
    </row>
    <row r="59" ht="14.25" customHeight="1">
      <c r="A59" s="40"/>
    </row>
    <row r="60" ht="14.25" customHeight="1">
      <c r="A60" s="40"/>
    </row>
    <row r="61" ht="14.25" customHeight="1">
      <c r="A61" s="40"/>
    </row>
    <row r="62" ht="14.25" customHeight="1">
      <c r="A62" s="40"/>
    </row>
    <row r="63" ht="14.25" customHeight="1">
      <c r="A63" s="40"/>
    </row>
    <row r="64" ht="14.25" customHeight="1">
      <c r="A64" s="40"/>
    </row>
    <row r="65" ht="14.25" customHeight="1">
      <c r="A65" s="40"/>
    </row>
    <row r="66" ht="14.25" customHeight="1">
      <c r="A66" s="40"/>
    </row>
    <row r="67" ht="14.25" customHeight="1">
      <c r="A67" s="40"/>
    </row>
    <row r="68" ht="14.25" customHeight="1">
      <c r="A68" s="40"/>
    </row>
    <row r="69" ht="14.25" customHeight="1">
      <c r="A69" s="40"/>
    </row>
    <row r="70" ht="14.25" customHeight="1">
      <c r="A70" s="40"/>
    </row>
    <row r="71" ht="14.25" customHeight="1">
      <c r="A71" s="40"/>
    </row>
    <row r="72" ht="14.25" customHeight="1">
      <c r="A72" s="40"/>
    </row>
    <row r="73" ht="14.25" customHeight="1">
      <c r="A73" s="40"/>
    </row>
    <row r="74" ht="14.25" customHeight="1">
      <c r="A74" s="40"/>
    </row>
    <row r="75" ht="14.25" customHeight="1">
      <c r="A75" s="40"/>
    </row>
    <row r="76" ht="14.25" customHeight="1">
      <c r="A76" s="40"/>
    </row>
    <row r="77" ht="14.25" customHeight="1">
      <c r="A77" s="40"/>
    </row>
    <row r="78" ht="14.25" customHeight="1">
      <c r="A78" s="40"/>
    </row>
    <row r="79" ht="14.25" customHeight="1">
      <c r="A79" s="40"/>
    </row>
    <row r="80" ht="14.25" customHeight="1">
      <c r="A80" s="40"/>
    </row>
    <row r="81" ht="14.25" customHeight="1">
      <c r="A81" s="40"/>
    </row>
    <row r="82" ht="14.25" customHeight="1">
      <c r="A82" s="40"/>
    </row>
    <row r="83" ht="14.25" customHeight="1">
      <c r="A83" s="40"/>
    </row>
    <row r="84" ht="14.25" customHeight="1">
      <c r="A84" s="40"/>
    </row>
    <row r="85" ht="14.25" customHeight="1">
      <c r="A85" s="40"/>
    </row>
    <row r="86" ht="14.25" customHeight="1">
      <c r="A86" s="40"/>
    </row>
    <row r="87" ht="14.25" customHeight="1">
      <c r="A87" s="40"/>
    </row>
    <row r="88" ht="14.25" customHeight="1">
      <c r="A88" s="40"/>
    </row>
    <row r="89" ht="14.25" customHeight="1">
      <c r="A89" s="40"/>
    </row>
    <row r="90" ht="14.25" customHeight="1">
      <c r="A90" s="40"/>
    </row>
    <row r="91" ht="14.25" customHeight="1">
      <c r="A91" s="40"/>
    </row>
    <row r="92" ht="14.25" customHeight="1">
      <c r="A92" s="40"/>
    </row>
    <row r="93" ht="14.25" customHeight="1">
      <c r="A93" s="40"/>
    </row>
    <row r="94" ht="14.25" customHeight="1">
      <c r="A94" s="40"/>
    </row>
    <row r="95" ht="14.25" customHeight="1">
      <c r="A95" s="40"/>
    </row>
    <row r="96" ht="14.25" customHeight="1">
      <c r="A96" s="40"/>
    </row>
    <row r="97" ht="14.25" customHeight="1">
      <c r="A97" s="40"/>
    </row>
    <row r="98" ht="14.25" customHeight="1">
      <c r="A98" s="40"/>
    </row>
    <row r="99" ht="14.25" customHeight="1">
      <c r="A99" s="40"/>
    </row>
    <row r="100" ht="14.25" customHeight="1">
      <c r="A100" s="40"/>
    </row>
    <row r="101" ht="14.25" customHeight="1">
      <c r="A101" s="40"/>
    </row>
    <row r="102" ht="14.25" customHeight="1">
      <c r="A102" s="40"/>
    </row>
    <row r="103" ht="14.25" customHeight="1">
      <c r="A103" s="40"/>
    </row>
    <row r="104" ht="14.25" customHeight="1">
      <c r="A104" s="40"/>
    </row>
    <row r="105" ht="14.25" customHeight="1">
      <c r="A105" s="40"/>
    </row>
    <row r="106" ht="14.25" customHeight="1">
      <c r="A106" s="40"/>
    </row>
    <row r="107" ht="14.25" customHeight="1">
      <c r="A107" s="40"/>
    </row>
    <row r="108" ht="14.25" customHeight="1">
      <c r="A108" s="40"/>
    </row>
    <row r="109" ht="14.25" customHeight="1">
      <c r="A109" s="40"/>
    </row>
    <row r="110" ht="14.25" customHeight="1">
      <c r="A110" s="40"/>
    </row>
    <row r="111" ht="14.25" customHeight="1">
      <c r="A111" s="40"/>
    </row>
    <row r="112" ht="14.25" customHeight="1">
      <c r="A112" s="40"/>
    </row>
    <row r="113" ht="14.25" customHeight="1">
      <c r="A113" s="40"/>
    </row>
    <row r="114" ht="14.25" customHeight="1">
      <c r="A114" s="40"/>
    </row>
    <row r="115" ht="14.25" customHeight="1">
      <c r="A115" s="40"/>
    </row>
    <row r="116" ht="14.25" customHeight="1">
      <c r="A116" s="40"/>
    </row>
    <row r="117" ht="14.25" customHeight="1">
      <c r="A117" s="40"/>
    </row>
    <row r="118" ht="14.25" customHeight="1">
      <c r="A118" s="40"/>
    </row>
    <row r="119" ht="14.25" customHeight="1">
      <c r="A119" s="40"/>
    </row>
    <row r="120" ht="14.25" customHeight="1">
      <c r="A120" s="40"/>
    </row>
    <row r="121" ht="14.25" customHeight="1">
      <c r="A121" s="40"/>
    </row>
    <row r="122" ht="14.25" customHeight="1">
      <c r="A122" s="40"/>
    </row>
    <row r="123" ht="14.25" customHeight="1">
      <c r="A123" s="40"/>
    </row>
    <row r="124" ht="14.25" customHeight="1">
      <c r="A124" s="40"/>
    </row>
    <row r="125" ht="14.25" customHeight="1">
      <c r="A125" s="40"/>
    </row>
    <row r="126" ht="14.25" customHeight="1">
      <c r="A126" s="40"/>
    </row>
    <row r="127" ht="14.25" customHeight="1">
      <c r="A127" s="40"/>
    </row>
    <row r="128" ht="14.25" customHeight="1">
      <c r="A128" s="40"/>
    </row>
    <row r="129" ht="14.25" customHeight="1">
      <c r="A129" s="40"/>
    </row>
    <row r="130" ht="14.25" customHeight="1">
      <c r="A130" s="40"/>
    </row>
    <row r="131" ht="14.25" customHeight="1">
      <c r="A131" s="40"/>
    </row>
    <row r="132" ht="14.25" customHeight="1">
      <c r="A132" s="40"/>
    </row>
    <row r="133" ht="14.25" customHeight="1">
      <c r="A133" s="40"/>
    </row>
    <row r="134" ht="14.25" customHeight="1">
      <c r="A134" s="40"/>
    </row>
    <row r="135" ht="14.25" customHeight="1">
      <c r="A135" s="40"/>
    </row>
    <row r="136" ht="14.25" customHeight="1">
      <c r="A136" s="40"/>
    </row>
    <row r="137" ht="14.25" customHeight="1">
      <c r="A137" s="40"/>
    </row>
    <row r="138" ht="14.25" customHeight="1">
      <c r="A138" s="40"/>
    </row>
    <row r="139" ht="14.25" customHeight="1">
      <c r="A139" s="40"/>
    </row>
    <row r="140" ht="14.25" customHeight="1">
      <c r="A140" s="40"/>
    </row>
    <row r="141" ht="14.25" customHeight="1">
      <c r="A141" s="40"/>
    </row>
    <row r="142" ht="14.25" customHeight="1">
      <c r="A142" s="40"/>
    </row>
    <row r="143" ht="14.25" customHeight="1">
      <c r="A143" s="40"/>
    </row>
    <row r="144" ht="14.25" customHeight="1">
      <c r="A144" s="40"/>
    </row>
    <row r="145" ht="14.25" customHeight="1">
      <c r="A145" s="40"/>
    </row>
    <row r="146" ht="14.25" customHeight="1">
      <c r="A146" s="40"/>
    </row>
    <row r="147" ht="14.25" customHeight="1">
      <c r="A147" s="40"/>
    </row>
    <row r="148" ht="14.25" customHeight="1">
      <c r="A148" s="40"/>
    </row>
    <row r="149" ht="14.25" customHeight="1">
      <c r="A149" s="40"/>
    </row>
    <row r="150" ht="14.25" customHeight="1">
      <c r="A150" s="40"/>
    </row>
    <row r="151" ht="14.25" customHeight="1">
      <c r="A151" s="40"/>
    </row>
    <row r="152" ht="14.25" customHeight="1">
      <c r="A152" s="40"/>
    </row>
    <row r="153" ht="14.25" customHeight="1">
      <c r="A153" s="40"/>
    </row>
    <row r="154" ht="14.25" customHeight="1">
      <c r="A154" s="40"/>
    </row>
    <row r="155" ht="14.25" customHeight="1">
      <c r="A155" s="40"/>
    </row>
    <row r="156" ht="14.25" customHeight="1">
      <c r="A156" s="40"/>
    </row>
    <row r="157" ht="14.25" customHeight="1">
      <c r="A157" s="40"/>
    </row>
    <row r="158" ht="14.25" customHeight="1">
      <c r="A158" s="40"/>
    </row>
    <row r="159" ht="14.25" customHeight="1">
      <c r="A159" s="40"/>
    </row>
    <row r="160" ht="14.25" customHeight="1">
      <c r="A160" s="40"/>
    </row>
    <row r="161" ht="14.25" customHeight="1">
      <c r="A161" s="40"/>
    </row>
    <row r="162" ht="14.25" customHeight="1">
      <c r="A162" s="40"/>
    </row>
    <row r="163" ht="14.25" customHeight="1">
      <c r="A163" s="40"/>
    </row>
    <row r="164" ht="14.25" customHeight="1">
      <c r="A164" s="40"/>
    </row>
    <row r="165" ht="14.25" customHeight="1">
      <c r="A165" s="40"/>
    </row>
    <row r="166" ht="14.25" customHeight="1">
      <c r="A166" s="40"/>
    </row>
    <row r="167" ht="14.25" customHeight="1">
      <c r="A167" s="40"/>
    </row>
    <row r="168" ht="14.25" customHeight="1">
      <c r="A168" s="40"/>
    </row>
    <row r="169" ht="14.25" customHeight="1">
      <c r="A169" s="40"/>
    </row>
    <row r="170" ht="14.25" customHeight="1">
      <c r="A170" s="40"/>
    </row>
    <row r="171" ht="14.25" customHeight="1">
      <c r="A171" s="40"/>
    </row>
    <row r="172" ht="14.25" customHeight="1">
      <c r="A172" s="40"/>
    </row>
    <row r="173" ht="14.25" customHeight="1">
      <c r="A173" s="40"/>
    </row>
    <row r="174" ht="14.25" customHeight="1">
      <c r="A174" s="40"/>
    </row>
    <row r="175" ht="14.25" customHeight="1">
      <c r="A175" s="40"/>
    </row>
    <row r="176" ht="14.25" customHeight="1">
      <c r="A176" s="40"/>
    </row>
    <row r="177" ht="14.25" customHeight="1">
      <c r="A177" s="40"/>
    </row>
    <row r="178" ht="14.25" customHeight="1">
      <c r="A178" s="40"/>
    </row>
    <row r="179" ht="14.25" customHeight="1">
      <c r="A179" s="40"/>
    </row>
    <row r="180" ht="14.25" customHeight="1">
      <c r="A180" s="40"/>
    </row>
    <row r="181" ht="14.25" customHeight="1">
      <c r="A181" s="40"/>
    </row>
    <row r="182" ht="14.25" customHeight="1">
      <c r="A182" s="40"/>
    </row>
    <row r="183" ht="14.25" customHeight="1">
      <c r="A183" s="40"/>
    </row>
    <row r="184" ht="14.25" customHeight="1">
      <c r="A184" s="40"/>
    </row>
    <row r="185" ht="14.25" customHeight="1">
      <c r="A185" s="40"/>
    </row>
    <row r="186" ht="14.25" customHeight="1">
      <c r="A186" s="40"/>
    </row>
    <row r="187" ht="14.25" customHeight="1">
      <c r="A187" s="40"/>
    </row>
    <row r="188" ht="14.25" customHeight="1">
      <c r="A188" s="40"/>
    </row>
    <row r="189" ht="14.25" customHeight="1">
      <c r="A189" s="40"/>
    </row>
    <row r="190" ht="14.25" customHeight="1">
      <c r="A190" s="40"/>
    </row>
    <row r="191" ht="14.25" customHeight="1">
      <c r="A191" s="40"/>
    </row>
    <row r="192" ht="14.25" customHeight="1">
      <c r="A192" s="40"/>
    </row>
    <row r="193" ht="14.25" customHeight="1">
      <c r="A193" s="40"/>
    </row>
    <row r="194" ht="14.25" customHeight="1">
      <c r="A194" s="40"/>
    </row>
    <row r="195" ht="14.25" customHeight="1">
      <c r="A195" s="40"/>
    </row>
    <row r="196" ht="14.25" customHeight="1">
      <c r="A196" s="40"/>
    </row>
    <row r="197" ht="14.25" customHeight="1">
      <c r="A197" s="40"/>
    </row>
    <row r="198" ht="14.25" customHeight="1">
      <c r="A198" s="40"/>
    </row>
    <row r="199" ht="14.25" customHeight="1">
      <c r="A199" s="40"/>
    </row>
    <row r="200" ht="14.25" customHeight="1">
      <c r="A200" s="40"/>
    </row>
    <row r="201" ht="14.25" customHeight="1">
      <c r="A201" s="40"/>
    </row>
    <row r="202" ht="14.25" customHeight="1">
      <c r="A202" s="40"/>
    </row>
    <row r="203" ht="14.25" customHeight="1">
      <c r="A203" s="40"/>
    </row>
    <row r="204" ht="14.25" customHeight="1">
      <c r="A204" s="40"/>
    </row>
    <row r="205" ht="14.25" customHeight="1">
      <c r="A205" s="40"/>
    </row>
    <row r="206" ht="14.25" customHeight="1">
      <c r="A206" s="40"/>
    </row>
    <row r="207" ht="14.25" customHeight="1">
      <c r="A207" s="40"/>
    </row>
    <row r="208" ht="14.25" customHeight="1">
      <c r="A208" s="40"/>
    </row>
    <row r="209" ht="14.25" customHeight="1">
      <c r="A209" s="40"/>
    </row>
    <row r="210" ht="14.25" customHeight="1">
      <c r="A210" s="40"/>
    </row>
    <row r="211" ht="14.25" customHeight="1">
      <c r="A211" s="40"/>
    </row>
    <row r="212" ht="14.25" customHeight="1">
      <c r="A212" s="40"/>
    </row>
    <row r="213" ht="14.25" customHeight="1">
      <c r="A213" s="40"/>
    </row>
    <row r="214" ht="14.25" customHeight="1">
      <c r="A214" s="40"/>
    </row>
    <row r="215" ht="14.25" customHeight="1">
      <c r="A215" s="40"/>
    </row>
    <row r="216" ht="14.25" customHeight="1">
      <c r="A216" s="40"/>
    </row>
    <row r="217" ht="14.25" customHeight="1">
      <c r="A217" s="40"/>
    </row>
    <row r="218" ht="14.25" customHeight="1">
      <c r="A218" s="40"/>
    </row>
    <row r="219" ht="14.25" customHeight="1">
      <c r="A219" s="40"/>
    </row>
    <row r="220" ht="14.25" customHeight="1">
      <c r="A220" s="40"/>
    </row>
    <row r="221" ht="14.25" customHeight="1">
      <c r="A221" s="40"/>
    </row>
    <row r="222" ht="14.25" customHeight="1">
      <c r="A222" s="40"/>
    </row>
    <row r="223" ht="14.25" customHeight="1">
      <c r="A223" s="40"/>
    </row>
    <row r="224" ht="14.25" customHeight="1">
      <c r="A224" s="40"/>
    </row>
    <row r="225" ht="14.25" customHeight="1">
      <c r="A225" s="40"/>
    </row>
    <row r="226" ht="14.25" customHeight="1">
      <c r="A226" s="40"/>
    </row>
    <row r="227" ht="14.25" customHeight="1">
      <c r="A227" s="40"/>
    </row>
    <row r="228" ht="14.25" customHeight="1">
      <c r="A228" s="40"/>
    </row>
    <row r="229" ht="14.25" customHeight="1">
      <c r="A229" s="40"/>
    </row>
    <row r="230" ht="14.25" customHeight="1">
      <c r="A230" s="40"/>
    </row>
    <row r="231" ht="14.25" customHeight="1">
      <c r="A231" s="40"/>
    </row>
    <row r="232" ht="14.25" customHeight="1">
      <c r="A232" s="40"/>
    </row>
    <row r="233" ht="14.25" customHeight="1">
      <c r="A233" s="40"/>
    </row>
    <row r="234" ht="14.25" customHeight="1">
      <c r="A234" s="40"/>
    </row>
    <row r="235" ht="14.25" customHeight="1">
      <c r="A235" s="40"/>
    </row>
    <row r="236" ht="14.25" customHeight="1">
      <c r="A236" s="40"/>
    </row>
    <row r="237" ht="14.25" customHeight="1">
      <c r="A237" s="40"/>
    </row>
    <row r="238" ht="14.25" customHeight="1">
      <c r="A238" s="40"/>
    </row>
    <row r="239" ht="14.25" customHeight="1">
      <c r="A239" s="40"/>
    </row>
    <row r="240" ht="14.25" customHeight="1">
      <c r="A240" s="40"/>
    </row>
    <row r="241" ht="14.25" customHeight="1">
      <c r="A241" s="40"/>
    </row>
    <row r="242" ht="14.25" customHeight="1">
      <c r="A242" s="40"/>
    </row>
    <row r="243" ht="14.25" customHeight="1">
      <c r="A243" s="40"/>
    </row>
    <row r="244" ht="14.25" customHeight="1">
      <c r="A244" s="40"/>
    </row>
    <row r="245" ht="14.25" customHeight="1">
      <c r="A245" s="40"/>
    </row>
    <row r="246" ht="14.25" customHeight="1">
      <c r="A246" s="40"/>
    </row>
    <row r="247" ht="14.25" customHeight="1">
      <c r="A247" s="40"/>
    </row>
    <row r="248" ht="14.25" customHeight="1">
      <c r="A248" s="40"/>
    </row>
    <row r="249" ht="14.25" customHeight="1">
      <c r="A249" s="40"/>
    </row>
    <row r="250" ht="14.25" customHeight="1">
      <c r="A250" s="40"/>
    </row>
    <row r="251" ht="14.25" customHeight="1">
      <c r="A251" s="40"/>
    </row>
    <row r="252" ht="14.25" customHeight="1">
      <c r="A252" s="40"/>
    </row>
    <row r="253" ht="14.25" customHeight="1">
      <c r="A253" s="40"/>
    </row>
    <row r="254" ht="14.25" customHeight="1">
      <c r="A254" s="40"/>
    </row>
    <row r="255" ht="14.25" customHeight="1">
      <c r="A255" s="40"/>
    </row>
    <row r="256" ht="14.25" customHeight="1">
      <c r="A256" s="40"/>
    </row>
    <row r="257" ht="14.25" customHeight="1">
      <c r="A257" s="40"/>
    </row>
    <row r="258" ht="14.25" customHeight="1">
      <c r="A258" s="40"/>
    </row>
    <row r="259" ht="14.25" customHeight="1">
      <c r="A259" s="40"/>
    </row>
    <row r="260" ht="14.25" customHeight="1">
      <c r="A260" s="40"/>
    </row>
    <row r="261" ht="14.25" customHeight="1">
      <c r="A261" s="40"/>
    </row>
    <row r="262" ht="14.25" customHeight="1">
      <c r="A262" s="40"/>
    </row>
    <row r="263" ht="14.25" customHeight="1">
      <c r="A263" s="40"/>
    </row>
    <row r="264" ht="14.25" customHeight="1">
      <c r="A264" s="40"/>
    </row>
    <row r="265" ht="14.25" customHeight="1">
      <c r="A265" s="40"/>
    </row>
    <row r="266" ht="14.25" customHeight="1">
      <c r="A266" s="40"/>
    </row>
    <row r="267" ht="14.25" customHeight="1">
      <c r="A267" s="40"/>
    </row>
    <row r="268" ht="14.25" customHeight="1">
      <c r="A268" s="40"/>
    </row>
    <row r="269" ht="14.25" customHeight="1">
      <c r="A269" s="40"/>
    </row>
    <row r="270" ht="14.25" customHeight="1">
      <c r="A270" s="40"/>
    </row>
    <row r="271" ht="14.25" customHeight="1">
      <c r="A271" s="40"/>
    </row>
    <row r="272" ht="14.25" customHeight="1">
      <c r="A272" s="40"/>
    </row>
    <row r="273" ht="14.25" customHeight="1">
      <c r="A273" s="40"/>
    </row>
    <row r="274" ht="14.25" customHeight="1">
      <c r="A274" s="40"/>
    </row>
    <row r="275" ht="14.25" customHeight="1">
      <c r="A275" s="40"/>
    </row>
    <row r="276" ht="14.25" customHeight="1">
      <c r="A276" s="40"/>
    </row>
    <row r="277" ht="14.25" customHeight="1">
      <c r="A277" s="40"/>
    </row>
    <row r="278" ht="14.25" customHeight="1">
      <c r="A278" s="40"/>
    </row>
    <row r="279" ht="14.25" customHeight="1">
      <c r="A279" s="40"/>
    </row>
    <row r="280" ht="14.25" customHeight="1">
      <c r="A280" s="40"/>
    </row>
    <row r="281" ht="14.25" customHeight="1">
      <c r="A281" s="40"/>
    </row>
    <row r="282" ht="14.25" customHeight="1">
      <c r="A282" s="40"/>
    </row>
    <row r="283" ht="14.25" customHeight="1">
      <c r="A283" s="40"/>
    </row>
    <row r="284" ht="14.25" customHeight="1">
      <c r="A284" s="40"/>
    </row>
    <row r="285" ht="14.25" customHeight="1">
      <c r="A285" s="40"/>
    </row>
    <row r="286" ht="14.25" customHeight="1">
      <c r="A286" s="40"/>
    </row>
    <row r="287" ht="14.25" customHeight="1">
      <c r="A287" s="40"/>
    </row>
    <row r="288" ht="14.25" customHeight="1">
      <c r="A288" s="40"/>
    </row>
    <row r="289" ht="14.25" customHeight="1">
      <c r="A289" s="40"/>
    </row>
    <row r="290" ht="14.25" customHeight="1">
      <c r="A290" s="40"/>
    </row>
    <row r="291" ht="14.25" customHeight="1">
      <c r="A291" s="40"/>
    </row>
    <row r="292" ht="14.25" customHeight="1">
      <c r="A292" s="40"/>
    </row>
    <row r="293" ht="14.25" customHeight="1">
      <c r="A293" s="40"/>
    </row>
    <row r="294" ht="14.25" customHeight="1">
      <c r="A294" s="40"/>
    </row>
    <row r="295" ht="14.25" customHeight="1">
      <c r="A295" s="40"/>
    </row>
    <row r="296" ht="14.25" customHeight="1">
      <c r="A296" s="40"/>
    </row>
    <row r="297" ht="14.25" customHeight="1">
      <c r="A297" s="40"/>
    </row>
    <row r="298" ht="14.25" customHeight="1">
      <c r="A298" s="40"/>
    </row>
    <row r="299" ht="14.25" customHeight="1">
      <c r="A299" s="40"/>
    </row>
    <row r="300" ht="14.25" customHeight="1">
      <c r="A300" s="40"/>
    </row>
    <row r="301" ht="14.25" customHeight="1">
      <c r="A301" s="40"/>
    </row>
    <row r="302" ht="14.25" customHeight="1">
      <c r="A302" s="40"/>
    </row>
    <row r="303" ht="14.25" customHeight="1">
      <c r="A303" s="40"/>
    </row>
    <row r="304" ht="14.25" customHeight="1">
      <c r="A304" s="40"/>
    </row>
    <row r="305" ht="14.25" customHeight="1">
      <c r="A305" s="40"/>
    </row>
    <row r="306" ht="14.25" customHeight="1">
      <c r="A306" s="40"/>
    </row>
    <row r="307" ht="14.25" customHeight="1">
      <c r="A307" s="40"/>
    </row>
    <row r="308" ht="14.25" customHeight="1">
      <c r="A308" s="40"/>
    </row>
    <row r="309" ht="14.25" customHeight="1">
      <c r="A309" s="40"/>
    </row>
    <row r="310" ht="14.25" customHeight="1">
      <c r="A310" s="40"/>
    </row>
    <row r="311" ht="14.25" customHeight="1">
      <c r="A311" s="40"/>
    </row>
    <row r="312" ht="14.25" customHeight="1">
      <c r="A312" s="40"/>
    </row>
    <row r="313" ht="14.25" customHeight="1">
      <c r="A313" s="40"/>
    </row>
    <row r="314" ht="14.25" customHeight="1">
      <c r="A314" s="40"/>
    </row>
    <row r="315" ht="14.25" customHeight="1">
      <c r="A315" s="40"/>
    </row>
    <row r="316" ht="14.25" customHeight="1">
      <c r="A316" s="40"/>
    </row>
    <row r="317" ht="14.25" customHeight="1">
      <c r="A317" s="40"/>
    </row>
    <row r="318" ht="14.25" customHeight="1">
      <c r="A318" s="40"/>
    </row>
    <row r="319" ht="14.25" customHeight="1">
      <c r="A319" s="40"/>
    </row>
    <row r="320" ht="14.25" customHeight="1">
      <c r="A320" s="40"/>
    </row>
    <row r="321" ht="14.25" customHeight="1">
      <c r="A321" s="40"/>
    </row>
    <row r="322" ht="14.25" customHeight="1">
      <c r="A322" s="40"/>
    </row>
    <row r="323" ht="14.25" customHeight="1">
      <c r="A323" s="40"/>
    </row>
    <row r="324" ht="14.25" customHeight="1">
      <c r="A324" s="40"/>
    </row>
    <row r="325" ht="14.25" customHeight="1">
      <c r="A325" s="40"/>
    </row>
    <row r="326" ht="14.25" customHeight="1">
      <c r="A326" s="40"/>
    </row>
    <row r="327" ht="14.25" customHeight="1">
      <c r="A327" s="40"/>
    </row>
    <row r="328" ht="14.25" customHeight="1">
      <c r="A328" s="40"/>
    </row>
    <row r="329" ht="14.25" customHeight="1">
      <c r="A329" s="40"/>
    </row>
    <row r="330" ht="14.25" customHeight="1">
      <c r="A330" s="40"/>
    </row>
    <row r="331" ht="14.25" customHeight="1">
      <c r="A331" s="40"/>
    </row>
    <row r="332" ht="14.25" customHeight="1">
      <c r="A332" s="40"/>
    </row>
    <row r="333" ht="14.25" customHeight="1">
      <c r="A333" s="40"/>
    </row>
    <row r="334" ht="14.25" customHeight="1">
      <c r="A334" s="40"/>
    </row>
    <row r="335" ht="14.25" customHeight="1">
      <c r="A335" s="40"/>
    </row>
    <row r="336" ht="14.25" customHeight="1">
      <c r="A336" s="40"/>
    </row>
    <row r="337" ht="14.25" customHeight="1">
      <c r="A337" s="40"/>
    </row>
    <row r="338" ht="14.25" customHeight="1">
      <c r="A338" s="40"/>
    </row>
    <row r="339" ht="14.25" customHeight="1">
      <c r="A339" s="40"/>
    </row>
    <row r="340" ht="14.25" customHeight="1">
      <c r="A340" s="40"/>
    </row>
    <row r="341" ht="14.25" customHeight="1">
      <c r="A341" s="40"/>
    </row>
    <row r="342" ht="14.25" customHeight="1">
      <c r="A342" s="40"/>
    </row>
    <row r="343" ht="14.25" customHeight="1">
      <c r="A343" s="40"/>
    </row>
    <row r="344" ht="14.25" customHeight="1">
      <c r="A344" s="40"/>
    </row>
    <row r="345" ht="14.25" customHeight="1">
      <c r="A345" s="40"/>
    </row>
    <row r="346" ht="14.25" customHeight="1">
      <c r="A346" s="40"/>
    </row>
    <row r="347" ht="14.25" customHeight="1">
      <c r="A347" s="40"/>
    </row>
    <row r="348" ht="14.25" customHeight="1">
      <c r="A348" s="40"/>
    </row>
    <row r="349" ht="14.25" customHeight="1">
      <c r="A349" s="40"/>
    </row>
    <row r="350" ht="14.25" customHeight="1">
      <c r="A350" s="40"/>
    </row>
    <row r="351" ht="14.25" customHeight="1">
      <c r="A351" s="40"/>
    </row>
    <row r="352" ht="14.25" customHeight="1">
      <c r="A352" s="40"/>
    </row>
    <row r="353" ht="14.25" customHeight="1">
      <c r="A353" s="40"/>
    </row>
    <row r="354" ht="14.25" customHeight="1">
      <c r="A354" s="40"/>
    </row>
    <row r="355" ht="14.25" customHeight="1">
      <c r="A355" s="40"/>
    </row>
    <row r="356" ht="14.25" customHeight="1">
      <c r="A356" s="40"/>
    </row>
    <row r="357" ht="14.25" customHeight="1">
      <c r="A357" s="40"/>
    </row>
    <row r="358" ht="14.25" customHeight="1">
      <c r="A358" s="40"/>
    </row>
    <row r="359" ht="14.25" customHeight="1">
      <c r="A359" s="40"/>
    </row>
    <row r="360" ht="14.25" customHeight="1">
      <c r="A360" s="40"/>
    </row>
    <row r="361" ht="14.25" customHeight="1">
      <c r="A361" s="40"/>
    </row>
    <row r="362" ht="14.25" customHeight="1">
      <c r="A362" s="40"/>
    </row>
    <row r="363" ht="14.25" customHeight="1">
      <c r="A363" s="40"/>
    </row>
    <row r="364" ht="14.25" customHeight="1">
      <c r="A364" s="40"/>
    </row>
    <row r="365" ht="14.25" customHeight="1">
      <c r="A365" s="40"/>
    </row>
    <row r="366" ht="14.25" customHeight="1">
      <c r="A366" s="40"/>
    </row>
    <row r="367" ht="14.25" customHeight="1">
      <c r="A367" s="40"/>
    </row>
    <row r="368" ht="14.25" customHeight="1">
      <c r="A368" s="40"/>
    </row>
    <row r="369" ht="14.25" customHeight="1">
      <c r="A369" s="40"/>
    </row>
    <row r="370" ht="14.25" customHeight="1">
      <c r="A370" s="40"/>
    </row>
    <row r="371" ht="14.25" customHeight="1">
      <c r="A371" s="40"/>
    </row>
    <row r="372" ht="14.25" customHeight="1">
      <c r="A372" s="40"/>
    </row>
    <row r="373" ht="14.25" customHeight="1">
      <c r="A373" s="40"/>
    </row>
    <row r="374" ht="14.25" customHeight="1">
      <c r="A374" s="40"/>
    </row>
    <row r="375" ht="14.25" customHeight="1">
      <c r="A375" s="40"/>
    </row>
    <row r="376" ht="14.25" customHeight="1">
      <c r="A376" s="40"/>
    </row>
    <row r="377" ht="14.25" customHeight="1">
      <c r="A377" s="40"/>
    </row>
    <row r="378" ht="14.25" customHeight="1">
      <c r="A378" s="40"/>
    </row>
    <row r="379" ht="14.25" customHeight="1">
      <c r="A379" s="40"/>
    </row>
    <row r="380" ht="14.25" customHeight="1">
      <c r="A380" s="40"/>
    </row>
    <row r="381" ht="14.25" customHeight="1">
      <c r="A381" s="40"/>
    </row>
    <row r="382" ht="14.25" customHeight="1">
      <c r="A382" s="40"/>
    </row>
    <row r="383" ht="14.25" customHeight="1">
      <c r="A383" s="40"/>
    </row>
    <row r="384" ht="14.25" customHeight="1">
      <c r="A384" s="40"/>
    </row>
    <row r="385" ht="14.25" customHeight="1">
      <c r="A385" s="40"/>
    </row>
    <row r="386" ht="14.25" customHeight="1">
      <c r="A386" s="40"/>
    </row>
    <row r="387" ht="14.25" customHeight="1">
      <c r="A387" s="40"/>
    </row>
    <row r="388" ht="14.25" customHeight="1">
      <c r="A388" s="40"/>
    </row>
    <row r="389" ht="14.25" customHeight="1">
      <c r="A389" s="40"/>
    </row>
    <row r="390" ht="14.25" customHeight="1">
      <c r="A390" s="40"/>
    </row>
    <row r="391" ht="14.25" customHeight="1">
      <c r="A391" s="40"/>
    </row>
    <row r="392" ht="14.25" customHeight="1">
      <c r="A392" s="40"/>
    </row>
    <row r="393" ht="14.25" customHeight="1">
      <c r="A393" s="40"/>
    </row>
    <row r="394" ht="14.25" customHeight="1">
      <c r="A394" s="40"/>
    </row>
    <row r="395" ht="14.25" customHeight="1">
      <c r="A395" s="40"/>
    </row>
    <row r="396" ht="14.25" customHeight="1">
      <c r="A396" s="40"/>
    </row>
    <row r="397" ht="14.25" customHeight="1">
      <c r="A397" s="40"/>
    </row>
    <row r="398" ht="14.25" customHeight="1">
      <c r="A398" s="40"/>
    </row>
    <row r="399" ht="14.25" customHeight="1">
      <c r="A399" s="40"/>
    </row>
    <row r="400" ht="14.25" customHeight="1">
      <c r="A400" s="40"/>
    </row>
    <row r="401" ht="14.25" customHeight="1">
      <c r="A401" s="40"/>
    </row>
    <row r="402" ht="14.25" customHeight="1">
      <c r="A402" s="40"/>
    </row>
    <row r="403" ht="14.25" customHeight="1">
      <c r="A403" s="40"/>
    </row>
    <row r="404" ht="14.25" customHeight="1">
      <c r="A404" s="40"/>
    </row>
    <row r="405" ht="14.25" customHeight="1">
      <c r="A405" s="40"/>
    </row>
    <row r="406" ht="14.25" customHeight="1">
      <c r="A406" s="40"/>
    </row>
    <row r="407" ht="14.25" customHeight="1">
      <c r="A407" s="40"/>
    </row>
    <row r="408" ht="14.25" customHeight="1">
      <c r="A408" s="40"/>
    </row>
    <row r="409" ht="14.25" customHeight="1">
      <c r="A409" s="40"/>
    </row>
    <row r="410" ht="14.25" customHeight="1">
      <c r="A410" s="40"/>
    </row>
    <row r="411" ht="14.25" customHeight="1">
      <c r="A411" s="40"/>
    </row>
    <row r="412" ht="14.25" customHeight="1">
      <c r="A412" s="40"/>
    </row>
    <row r="413" ht="14.25" customHeight="1">
      <c r="A413" s="40"/>
    </row>
    <row r="414" ht="14.25" customHeight="1">
      <c r="A414" s="40"/>
    </row>
    <row r="415" ht="14.25" customHeight="1">
      <c r="A415" s="40"/>
    </row>
    <row r="416" ht="14.25" customHeight="1">
      <c r="A416" s="40"/>
    </row>
    <row r="417" ht="14.25" customHeight="1">
      <c r="A417" s="40"/>
    </row>
    <row r="418" ht="14.25" customHeight="1">
      <c r="A418" s="40"/>
    </row>
    <row r="419" ht="14.25" customHeight="1">
      <c r="A419" s="40"/>
    </row>
    <row r="420" ht="14.25" customHeight="1">
      <c r="A420" s="40"/>
    </row>
    <row r="421" ht="14.25" customHeight="1">
      <c r="A421" s="40"/>
    </row>
    <row r="422" ht="14.25" customHeight="1">
      <c r="A422" s="40"/>
    </row>
    <row r="423" ht="14.25" customHeight="1">
      <c r="A423" s="40"/>
    </row>
    <row r="424" ht="14.25" customHeight="1">
      <c r="A424" s="40"/>
    </row>
    <row r="425" ht="14.25" customHeight="1">
      <c r="A425" s="40"/>
    </row>
    <row r="426" ht="14.25" customHeight="1">
      <c r="A426" s="40"/>
    </row>
    <row r="427" ht="14.25" customHeight="1">
      <c r="A427" s="40"/>
    </row>
    <row r="428" ht="14.25" customHeight="1">
      <c r="A428" s="40"/>
    </row>
    <row r="429" ht="14.25" customHeight="1">
      <c r="A429" s="40"/>
    </row>
    <row r="430" ht="14.25" customHeight="1">
      <c r="A430" s="40"/>
    </row>
    <row r="431" ht="14.25" customHeight="1">
      <c r="A431" s="40"/>
    </row>
    <row r="432" ht="14.25" customHeight="1">
      <c r="A432" s="40"/>
    </row>
    <row r="433" ht="14.25" customHeight="1">
      <c r="A433" s="40"/>
    </row>
    <row r="434" ht="14.25" customHeight="1">
      <c r="A434" s="40"/>
    </row>
    <row r="435" ht="14.25" customHeight="1">
      <c r="A435" s="40"/>
    </row>
    <row r="436" ht="14.25" customHeight="1">
      <c r="A436" s="40"/>
    </row>
    <row r="437" ht="14.25" customHeight="1">
      <c r="A437" s="40"/>
    </row>
    <row r="438" ht="14.25" customHeight="1">
      <c r="A438" s="40"/>
    </row>
    <row r="439" ht="14.25" customHeight="1">
      <c r="A439" s="40"/>
    </row>
    <row r="440" ht="14.25" customHeight="1">
      <c r="A440" s="40"/>
    </row>
    <row r="441" ht="14.25" customHeight="1">
      <c r="A441" s="40"/>
    </row>
    <row r="442" ht="14.25" customHeight="1">
      <c r="A442" s="40"/>
    </row>
    <row r="443" ht="14.25" customHeight="1">
      <c r="A443" s="40"/>
    </row>
    <row r="444" ht="14.25" customHeight="1">
      <c r="A444" s="40"/>
    </row>
    <row r="445" ht="14.25" customHeight="1">
      <c r="A445" s="40"/>
    </row>
    <row r="446" ht="14.25" customHeight="1">
      <c r="A446" s="40"/>
    </row>
    <row r="447" ht="14.25" customHeight="1">
      <c r="A447" s="40"/>
    </row>
    <row r="448" ht="14.25" customHeight="1">
      <c r="A448" s="40"/>
    </row>
    <row r="449" ht="14.25" customHeight="1">
      <c r="A449" s="40"/>
    </row>
    <row r="450" ht="14.25" customHeight="1">
      <c r="A450" s="40"/>
    </row>
    <row r="451" ht="14.25" customHeight="1">
      <c r="A451" s="40"/>
    </row>
    <row r="452" ht="14.25" customHeight="1">
      <c r="A452" s="40"/>
    </row>
    <row r="453" ht="14.25" customHeight="1">
      <c r="A453" s="40"/>
    </row>
    <row r="454" ht="14.25" customHeight="1">
      <c r="A454" s="40"/>
    </row>
    <row r="455" ht="14.25" customHeight="1">
      <c r="A455" s="40"/>
    </row>
    <row r="456" ht="14.25" customHeight="1">
      <c r="A456" s="40"/>
    </row>
    <row r="457" ht="14.25" customHeight="1">
      <c r="A457" s="40"/>
    </row>
    <row r="458" ht="14.25" customHeight="1">
      <c r="A458" s="40"/>
    </row>
    <row r="459" ht="14.25" customHeight="1">
      <c r="A459" s="40"/>
    </row>
    <row r="460" ht="14.25" customHeight="1">
      <c r="A460" s="40"/>
    </row>
    <row r="461" ht="14.25" customHeight="1">
      <c r="A461" s="40"/>
    </row>
    <row r="462" ht="14.25" customHeight="1">
      <c r="A462" s="40"/>
    </row>
    <row r="463" ht="14.25" customHeight="1">
      <c r="A463" s="40"/>
    </row>
    <row r="464" ht="14.25" customHeight="1">
      <c r="A464" s="40"/>
    </row>
    <row r="465" ht="14.25" customHeight="1">
      <c r="A465" s="40"/>
    </row>
    <row r="466" ht="14.25" customHeight="1">
      <c r="A466" s="40"/>
    </row>
    <row r="467" ht="14.25" customHeight="1">
      <c r="A467" s="40"/>
    </row>
    <row r="468" ht="14.25" customHeight="1">
      <c r="A468" s="40"/>
    </row>
    <row r="469" ht="14.25" customHeight="1">
      <c r="A469" s="40"/>
    </row>
    <row r="470" ht="14.25" customHeight="1">
      <c r="A470" s="40"/>
    </row>
    <row r="471" ht="14.25" customHeight="1">
      <c r="A471" s="40"/>
    </row>
    <row r="472" ht="14.25" customHeight="1">
      <c r="A472" s="40"/>
    </row>
    <row r="473" ht="14.25" customHeight="1">
      <c r="A473" s="40"/>
    </row>
    <row r="474" ht="14.25" customHeight="1">
      <c r="A474" s="40"/>
    </row>
    <row r="475" ht="14.25" customHeight="1">
      <c r="A475" s="40"/>
    </row>
    <row r="476" ht="14.25" customHeight="1">
      <c r="A476" s="40"/>
    </row>
    <row r="477" ht="14.25" customHeight="1">
      <c r="A477" s="40"/>
    </row>
    <row r="478" ht="14.25" customHeight="1">
      <c r="A478" s="40"/>
    </row>
    <row r="479" ht="14.25" customHeight="1">
      <c r="A479" s="40"/>
    </row>
    <row r="480" ht="14.25" customHeight="1">
      <c r="A480" s="40"/>
    </row>
    <row r="481" ht="14.25" customHeight="1">
      <c r="A481" s="40"/>
    </row>
    <row r="482" ht="14.25" customHeight="1">
      <c r="A482" s="40"/>
    </row>
    <row r="483" ht="14.25" customHeight="1">
      <c r="A483" s="40"/>
    </row>
    <row r="484" ht="14.25" customHeight="1">
      <c r="A484" s="40"/>
    </row>
    <row r="485" ht="14.25" customHeight="1">
      <c r="A485" s="40"/>
    </row>
    <row r="486" ht="14.25" customHeight="1">
      <c r="A486" s="40"/>
    </row>
    <row r="487" ht="14.25" customHeight="1">
      <c r="A487" s="40"/>
    </row>
    <row r="488" ht="14.25" customHeight="1">
      <c r="A488" s="40"/>
    </row>
    <row r="489" ht="14.25" customHeight="1">
      <c r="A489" s="40"/>
    </row>
    <row r="490" ht="14.25" customHeight="1">
      <c r="A490" s="40"/>
    </row>
    <row r="491" ht="14.25" customHeight="1">
      <c r="A491" s="40"/>
    </row>
    <row r="492" ht="14.25" customHeight="1">
      <c r="A492" s="40"/>
    </row>
    <row r="493" ht="14.25" customHeight="1">
      <c r="A493" s="40"/>
    </row>
    <row r="494" ht="14.25" customHeight="1">
      <c r="A494" s="40"/>
    </row>
    <row r="495" ht="14.25" customHeight="1">
      <c r="A495" s="40"/>
    </row>
    <row r="496" ht="14.25" customHeight="1">
      <c r="A496" s="40"/>
    </row>
    <row r="497" ht="14.25" customHeight="1">
      <c r="A497" s="40"/>
    </row>
    <row r="498" ht="14.25" customHeight="1">
      <c r="A498" s="40"/>
    </row>
    <row r="499" ht="14.25" customHeight="1">
      <c r="A499" s="40"/>
    </row>
    <row r="500" ht="14.25" customHeight="1">
      <c r="A500" s="40"/>
    </row>
    <row r="501" ht="14.25" customHeight="1">
      <c r="A501" s="40"/>
    </row>
    <row r="502" ht="14.25" customHeight="1">
      <c r="A502" s="40"/>
    </row>
    <row r="503" ht="14.25" customHeight="1">
      <c r="A503" s="40"/>
    </row>
    <row r="504" ht="14.25" customHeight="1">
      <c r="A504" s="40"/>
    </row>
    <row r="505" ht="14.25" customHeight="1">
      <c r="A505" s="40"/>
    </row>
    <row r="506" ht="14.25" customHeight="1">
      <c r="A506" s="40"/>
    </row>
    <row r="507" ht="14.25" customHeight="1">
      <c r="A507" s="40"/>
    </row>
    <row r="508" ht="14.25" customHeight="1">
      <c r="A508" s="40"/>
    </row>
    <row r="509" ht="14.25" customHeight="1">
      <c r="A509" s="40"/>
    </row>
    <row r="510" ht="14.25" customHeight="1">
      <c r="A510" s="40"/>
    </row>
    <row r="511" ht="14.25" customHeight="1">
      <c r="A511" s="40"/>
    </row>
    <row r="512" ht="14.25" customHeight="1">
      <c r="A512" s="40"/>
    </row>
    <row r="513" ht="14.25" customHeight="1">
      <c r="A513" s="40"/>
    </row>
    <row r="514" ht="14.25" customHeight="1">
      <c r="A514" s="40"/>
    </row>
    <row r="515" ht="14.25" customHeight="1">
      <c r="A515" s="40"/>
    </row>
    <row r="516" ht="14.25" customHeight="1">
      <c r="A516" s="40"/>
    </row>
    <row r="517" ht="14.25" customHeight="1">
      <c r="A517" s="40"/>
    </row>
    <row r="518" ht="14.25" customHeight="1">
      <c r="A518" s="40"/>
    </row>
    <row r="519" ht="14.25" customHeight="1">
      <c r="A519" s="40"/>
    </row>
    <row r="520" ht="14.25" customHeight="1">
      <c r="A520" s="40"/>
    </row>
    <row r="521" ht="14.25" customHeight="1">
      <c r="A521" s="40"/>
    </row>
    <row r="522" ht="14.25" customHeight="1">
      <c r="A522" s="40"/>
    </row>
    <row r="523" ht="14.25" customHeight="1">
      <c r="A523" s="40"/>
    </row>
    <row r="524" ht="14.25" customHeight="1">
      <c r="A524" s="40"/>
    </row>
    <row r="525" ht="14.25" customHeight="1">
      <c r="A525" s="40"/>
    </row>
    <row r="526" ht="14.25" customHeight="1">
      <c r="A526" s="40"/>
    </row>
    <row r="527" ht="14.25" customHeight="1">
      <c r="A527" s="40"/>
    </row>
    <row r="528" ht="14.25" customHeight="1">
      <c r="A528" s="40"/>
    </row>
    <row r="529" ht="14.25" customHeight="1">
      <c r="A529" s="40"/>
    </row>
    <row r="530" ht="14.25" customHeight="1">
      <c r="A530" s="40"/>
    </row>
    <row r="531" ht="14.25" customHeight="1">
      <c r="A531" s="40"/>
    </row>
    <row r="532" ht="14.25" customHeight="1">
      <c r="A532" s="40"/>
    </row>
    <row r="533" ht="14.25" customHeight="1">
      <c r="A533" s="40"/>
    </row>
    <row r="534" ht="14.25" customHeight="1">
      <c r="A534" s="40"/>
    </row>
    <row r="535" ht="14.25" customHeight="1">
      <c r="A535" s="40"/>
    </row>
    <row r="536" ht="14.25" customHeight="1">
      <c r="A536" s="40"/>
    </row>
    <row r="537" ht="14.25" customHeight="1">
      <c r="A537" s="40"/>
    </row>
    <row r="538" ht="14.25" customHeight="1">
      <c r="A538" s="40"/>
    </row>
    <row r="539" ht="14.25" customHeight="1">
      <c r="A539" s="40"/>
    </row>
    <row r="540" ht="14.25" customHeight="1">
      <c r="A540" s="40"/>
    </row>
    <row r="541" ht="14.25" customHeight="1">
      <c r="A541" s="40"/>
    </row>
    <row r="542" ht="14.25" customHeight="1">
      <c r="A542" s="40"/>
    </row>
    <row r="543" ht="14.25" customHeight="1">
      <c r="A543" s="40"/>
    </row>
    <row r="544" ht="14.25" customHeight="1">
      <c r="A544" s="40"/>
    </row>
    <row r="545" ht="14.25" customHeight="1">
      <c r="A545" s="40"/>
    </row>
    <row r="546" ht="14.25" customHeight="1">
      <c r="A546" s="40"/>
    </row>
    <row r="547" ht="14.25" customHeight="1">
      <c r="A547" s="40"/>
    </row>
    <row r="548" ht="14.25" customHeight="1">
      <c r="A548" s="40"/>
    </row>
    <row r="549" ht="14.25" customHeight="1">
      <c r="A549" s="40"/>
    </row>
    <row r="550" ht="14.25" customHeight="1">
      <c r="A550" s="40"/>
    </row>
    <row r="551" ht="14.25" customHeight="1">
      <c r="A551" s="40"/>
    </row>
    <row r="552" ht="14.25" customHeight="1">
      <c r="A552" s="40"/>
    </row>
    <row r="553" ht="14.25" customHeight="1">
      <c r="A553" s="40"/>
    </row>
    <row r="554" ht="14.25" customHeight="1">
      <c r="A554" s="40"/>
    </row>
    <row r="555" ht="14.25" customHeight="1">
      <c r="A555" s="40"/>
    </row>
    <row r="556" ht="14.25" customHeight="1">
      <c r="A556" s="40"/>
    </row>
    <row r="557" ht="14.25" customHeight="1">
      <c r="A557" s="40"/>
    </row>
    <row r="558" ht="14.25" customHeight="1">
      <c r="A558" s="40"/>
    </row>
    <row r="559" ht="14.25" customHeight="1">
      <c r="A559" s="40"/>
    </row>
    <row r="560" ht="14.25" customHeight="1">
      <c r="A560" s="40"/>
    </row>
    <row r="561" ht="14.25" customHeight="1">
      <c r="A561" s="40"/>
    </row>
    <row r="562" ht="14.25" customHeight="1">
      <c r="A562" s="40"/>
    </row>
    <row r="563" ht="14.25" customHeight="1">
      <c r="A563" s="40"/>
    </row>
    <row r="564" ht="14.25" customHeight="1">
      <c r="A564" s="40"/>
    </row>
    <row r="565" ht="14.25" customHeight="1">
      <c r="A565" s="40"/>
    </row>
    <row r="566" ht="14.25" customHeight="1">
      <c r="A566" s="40"/>
    </row>
    <row r="567" ht="14.25" customHeight="1">
      <c r="A567" s="40"/>
    </row>
    <row r="568" ht="14.25" customHeight="1">
      <c r="A568" s="40"/>
    </row>
    <row r="569" ht="14.25" customHeight="1">
      <c r="A569" s="40"/>
    </row>
    <row r="570" ht="14.25" customHeight="1">
      <c r="A570" s="40"/>
    </row>
    <row r="571" ht="14.25" customHeight="1">
      <c r="A571" s="40"/>
    </row>
    <row r="572" ht="14.25" customHeight="1">
      <c r="A572" s="40"/>
    </row>
    <row r="573" ht="14.25" customHeight="1">
      <c r="A573" s="40"/>
    </row>
    <row r="574" ht="14.25" customHeight="1">
      <c r="A574" s="40"/>
    </row>
    <row r="575" ht="14.25" customHeight="1">
      <c r="A575" s="40"/>
    </row>
    <row r="576" ht="14.25" customHeight="1">
      <c r="A576" s="40"/>
    </row>
    <row r="577" ht="14.25" customHeight="1">
      <c r="A577" s="40"/>
    </row>
    <row r="578" ht="14.25" customHeight="1">
      <c r="A578" s="40"/>
    </row>
    <row r="579" ht="14.25" customHeight="1">
      <c r="A579" s="40"/>
    </row>
    <row r="580" ht="14.25" customHeight="1">
      <c r="A580" s="40"/>
    </row>
    <row r="581" ht="14.25" customHeight="1">
      <c r="A581" s="40"/>
    </row>
    <row r="582" ht="14.25" customHeight="1">
      <c r="A582" s="40"/>
    </row>
    <row r="583" ht="14.25" customHeight="1">
      <c r="A583" s="40"/>
    </row>
    <row r="584" ht="14.25" customHeight="1">
      <c r="A584" s="40"/>
    </row>
    <row r="585" ht="14.25" customHeight="1">
      <c r="A585" s="40"/>
    </row>
    <row r="586" ht="14.25" customHeight="1">
      <c r="A586" s="40"/>
    </row>
    <row r="587" ht="14.25" customHeight="1">
      <c r="A587" s="40"/>
    </row>
    <row r="588" ht="14.25" customHeight="1">
      <c r="A588" s="40"/>
    </row>
    <row r="589" ht="14.25" customHeight="1">
      <c r="A589" s="40"/>
    </row>
    <row r="590" ht="14.25" customHeight="1">
      <c r="A590" s="40"/>
    </row>
    <row r="591" ht="14.25" customHeight="1">
      <c r="A591" s="40"/>
    </row>
    <row r="592" ht="14.25" customHeight="1">
      <c r="A592" s="40"/>
    </row>
    <row r="593" ht="14.25" customHeight="1">
      <c r="A593" s="40"/>
    </row>
    <row r="594" ht="14.25" customHeight="1">
      <c r="A594" s="40"/>
    </row>
    <row r="595" ht="14.25" customHeight="1">
      <c r="A595" s="40"/>
    </row>
    <row r="596" ht="14.25" customHeight="1">
      <c r="A596" s="40"/>
    </row>
    <row r="597" ht="14.25" customHeight="1">
      <c r="A597" s="40"/>
    </row>
    <row r="598" ht="14.25" customHeight="1">
      <c r="A598" s="40"/>
    </row>
    <row r="599" ht="14.25" customHeight="1">
      <c r="A599" s="40"/>
    </row>
    <row r="600" ht="14.25" customHeight="1">
      <c r="A600" s="40"/>
    </row>
    <row r="601" ht="14.25" customHeight="1">
      <c r="A601" s="40"/>
    </row>
    <row r="602" ht="14.25" customHeight="1">
      <c r="A602" s="40"/>
    </row>
    <row r="603" ht="14.25" customHeight="1">
      <c r="A603" s="40"/>
    </row>
    <row r="604" ht="14.25" customHeight="1">
      <c r="A604" s="40"/>
    </row>
    <row r="605" ht="14.25" customHeight="1">
      <c r="A605" s="40"/>
    </row>
    <row r="606" ht="14.25" customHeight="1">
      <c r="A606" s="40"/>
    </row>
    <row r="607" ht="14.25" customHeight="1">
      <c r="A607" s="40"/>
    </row>
    <row r="608" ht="14.25" customHeight="1">
      <c r="A608" s="40"/>
    </row>
    <row r="609" ht="14.25" customHeight="1">
      <c r="A609" s="40"/>
    </row>
    <row r="610" ht="14.25" customHeight="1">
      <c r="A610" s="40"/>
    </row>
    <row r="611" ht="14.25" customHeight="1">
      <c r="A611" s="40"/>
    </row>
    <row r="612" ht="14.25" customHeight="1">
      <c r="A612" s="40"/>
    </row>
    <row r="613" ht="14.25" customHeight="1">
      <c r="A613" s="40"/>
    </row>
    <row r="614" ht="14.25" customHeight="1">
      <c r="A614" s="40"/>
    </row>
    <row r="615" ht="14.25" customHeight="1">
      <c r="A615" s="40"/>
    </row>
    <row r="616" ht="14.25" customHeight="1">
      <c r="A616" s="40"/>
    </row>
    <row r="617" ht="14.25" customHeight="1">
      <c r="A617" s="40"/>
    </row>
    <row r="618" ht="14.25" customHeight="1">
      <c r="A618" s="40"/>
    </row>
    <row r="619" ht="14.25" customHeight="1">
      <c r="A619" s="40"/>
    </row>
    <row r="620" ht="14.25" customHeight="1">
      <c r="A620" s="40"/>
    </row>
    <row r="621" ht="14.25" customHeight="1">
      <c r="A621" s="40"/>
    </row>
    <row r="622" ht="14.25" customHeight="1">
      <c r="A622" s="40"/>
    </row>
    <row r="623" ht="14.25" customHeight="1">
      <c r="A623" s="40"/>
    </row>
    <row r="624" ht="14.25" customHeight="1">
      <c r="A624" s="40"/>
    </row>
    <row r="625" ht="14.25" customHeight="1">
      <c r="A625" s="40"/>
    </row>
    <row r="626" ht="14.25" customHeight="1">
      <c r="A626" s="40"/>
    </row>
    <row r="627" ht="14.25" customHeight="1">
      <c r="A627" s="40"/>
    </row>
    <row r="628" ht="14.25" customHeight="1">
      <c r="A628" s="40"/>
    </row>
    <row r="629" ht="14.25" customHeight="1">
      <c r="A629" s="40"/>
    </row>
    <row r="630" ht="14.25" customHeight="1">
      <c r="A630" s="40"/>
    </row>
    <row r="631" ht="14.25" customHeight="1">
      <c r="A631" s="40"/>
    </row>
    <row r="632" ht="14.25" customHeight="1">
      <c r="A632" s="40"/>
    </row>
    <row r="633" ht="14.25" customHeight="1">
      <c r="A633" s="40"/>
    </row>
    <row r="634" ht="14.25" customHeight="1">
      <c r="A634" s="40"/>
    </row>
    <row r="635" ht="14.25" customHeight="1">
      <c r="A635" s="40"/>
    </row>
    <row r="636" ht="14.25" customHeight="1">
      <c r="A636" s="40"/>
    </row>
    <row r="637" ht="14.25" customHeight="1">
      <c r="A637" s="40"/>
    </row>
    <row r="638" ht="14.25" customHeight="1">
      <c r="A638" s="40"/>
    </row>
    <row r="639" ht="14.25" customHeight="1">
      <c r="A639" s="40"/>
    </row>
    <row r="640" ht="14.25" customHeight="1">
      <c r="A640" s="40"/>
    </row>
    <row r="641" ht="14.25" customHeight="1">
      <c r="A641" s="40"/>
    </row>
    <row r="642" ht="14.25" customHeight="1">
      <c r="A642" s="40"/>
    </row>
    <row r="643" ht="14.25" customHeight="1">
      <c r="A643" s="40"/>
    </row>
    <row r="644" ht="14.25" customHeight="1">
      <c r="A644" s="40"/>
    </row>
    <row r="645" ht="14.25" customHeight="1">
      <c r="A645" s="40"/>
    </row>
    <row r="646" ht="14.25" customHeight="1">
      <c r="A646" s="40"/>
    </row>
    <row r="647" ht="14.25" customHeight="1">
      <c r="A647" s="40"/>
    </row>
    <row r="648" ht="14.25" customHeight="1">
      <c r="A648" s="40"/>
    </row>
    <row r="649" ht="14.25" customHeight="1">
      <c r="A649" s="40"/>
    </row>
    <row r="650" ht="14.25" customHeight="1">
      <c r="A650" s="40"/>
    </row>
    <row r="651" ht="14.25" customHeight="1">
      <c r="A651" s="40"/>
    </row>
    <row r="652" ht="14.25" customHeight="1">
      <c r="A652" s="40"/>
    </row>
    <row r="653" ht="14.25" customHeight="1">
      <c r="A653" s="40"/>
    </row>
    <row r="654" ht="14.25" customHeight="1">
      <c r="A654" s="40"/>
    </row>
    <row r="655" ht="14.25" customHeight="1">
      <c r="A655" s="40"/>
    </row>
    <row r="656" ht="14.25" customHeight="1">
      <c r="A656" s="40"/>
    </row>
    <row r="657" ht="14.25" customHeight="1">
      <c r="A657" s="40"/>
    </row>
    <row r="658" ht="14.25" customHeight="1">
      <c r="A658" s="40"/>
    </row>
    <row r="659" ht="14.25" customHeight="1">
      <c r="A659" s="40"/>
    </row>
    <row r="660" ht="14.25" customHeight="1">
      <c r="A660" s="40"/>
    </row>
    <row r="661" ht="14.25" customHeight="1">
      <c r="A661" s="40"/>
    </row>
    <row r="662" ht="14.25" customHeight="1">
      <c r="A662" s="40"/>
    </row>
    <row r="663" ht="14.25" customHeight="1">
      <c r="A663" s="40"/>
    </row>
    <row r="664" ht="14.25" customHeight="1">
      <c r="A664" s="40"/>
    </row>
    <row r="665" ht="14.25" customHeight="1">
      <c r="A665" s="40"/>
    </row>
    <row r="666" ht="14.25" customHeight="1">
      <c r="A666" s="40"/>
    </row>
    <row r="667" ht="14.25" customHeight="1">
      <c r="A667" s="40"/>
    </row>
    <row r="668" ht="14.25" customHeight="1">
      <c r="A668" s="40"/>
    </row>
    <row r="669" ht="14.25" customHeight="1">
      <c r="A669" s="40"/>
    </row>
    <row r="670" ht="14.25" customHeight="1">
      <c r="A670" s="40"/>
    </row>
    <row r="671" ht="14.25" customHeight="1">
      <c r="A671" s="40"/>
    </row>
    <row r="672" ht="14.25" customHeight="1">
      <c r="A672" s="40"/>
    </row>
    <row r="673" ht="14.25" customHeight="1">
      <c r="A673" s="40"/>
    </row>
    <row r="674" ht="14.25" customHeight="1">
      <c r="A674" s="40"/>
    </row>
    <row r="675" ht="14.25" customHeight="1">
      <c r="A675" s="40"/>
    </row>
    <row r="676" ht="14.25" customHeight="1">
      <c r="A676" s="40"/>
    </row>
    <row r="677" ht="14.25" customHeight="1">
      <c r="A677" s="40"/>
    </row>
    <row r="678" ht="14.25" customHeight="1">
      <c r="A678" s="40"/>
    </row>
    <row r="679" ht="14.25" customHeight="1">
      <c r="A679" s="40"/>
    </row>
    <row r="680" ht="14.25" customHeight="1">
      <c r="A680" s="40"/>
    </row>
    <row r="681" ht="14.25" customHeight="1">
      <c r="A681" s="40"/>
    </row>
    <row r="682" ht="14.25" customHeight="1">
      <c r="A682" s="40"/>
    </row>
    <row r="683" ht="14.25" customHeight="1">
      <c r="A683" s="40"/>
    </row>
    <row r="684" ht="14.25" customHeight="1">
      <c r="A684" s="40"/>
    </row>
    <row r="685" ht="14.25" customHeight="1">
      <c r="A685" s="40"/>
    </row>
    <row r="686" ht="14.25" customHeight="1">
      <c r="A686" s="40"/>
    </row>
    <row r="687" ht="14.25" customHeight="1">
      <c r="A687" s="40"/>
    </row>
    <row r="688" ht="14.25" customHeight="1">
      <c r="A688" s="40"/>
    </row>
    <row r="689" ht="14.25" customHeight="1">
      <c r="A689" s="40"/>
    </row>
    <row r="690" ht="14.25" customHeight="1">
      <c r="A690" s="40"/>
    </row>
    <row r="691" ht="14.25" customHeight="1">
      <c r="A691" s="40"/>
    </row>
    <row r="692" ht="14.25" customHeight="1">
      <c r="A692" s="40"/>
    </row>
    <row r="693" ht="14.25" customHeight="1">
      <c r="A693" s="40"/>
    </row>
    <row r="694" ht="14.25" customHeight="1">
      <c r="A694" s="40"/>
    </row>
    <row r="695" ht="14.25" customHeight="1">
      <c r="A695" s="40"/>
    </row>
    <row r="696" ht="14.25" customHeight="1">
      <c r="A696" s="40"/>
    </row>
    <row r="697" ht="14.25" customHeight="1">
      <c r="A697" s="40"/>
    </row>
    <row r="698" ht="14.25" customHeight="1">
      <c r="A698" s="40"/>
    </row>
    <row r="699" ht="14.25" customHeight="1">
      <c r="A699" s="40"/>
    </row>
    <row r="700" ht="14.25" customHeight="1">
      <c r="A700" s="40"/>
    </row>
    <row r="701" ht="14.25" customHeight="1">
      <c r="A701" s="40"/>
    </row>
    <row r="702" ht="14.25" customHeight="1">
      <c r="A702" s="40"/>
    </row>
    <row r="703" ht="14.25" customHeight="1">
      <c r="A703" s="40"/>
    </row>
    <row r="704" ht="14.25" customHeight="1">
      <c r="A704" s="40"/>
    </row>
    <row r="705" ht="14.25" customHeight="1">
      <c r="A705" s="40"/>
    </row>
    <row r="706" ht="14.25" customHeight="1">
      <c r="A706" s="40"/>
    </row>
    <row r="707" ht="14.25" customHeight="1">
      <c r="A707" s="40"/>
    </row>
    <row r="708" ht="14.25" customHeight="1">
      <c r="A708" s="40"/>
    </row>
    <row r="709" ht="14.25" customHeight="1">
      <c r="A709" s="40"/>
    </row>
    <row r="710" ht="14.25" customHeight="1">
      <c r="A710" s="40"/>
    </row>
    <row r="711" ht="14.25" customHeight="1">
      <c r="A711" s="40"/>
    </row>
    <row r="712" ht="14.25" customHeight="1">
      <c r="A712" s="40"/>
    </row>
    <row r="713" ht="14.25" customHeight="1">
      <c r="A713" s="40"/>
    </row>
    <row r="714" ht="14.25" customHeight="1">
      <c r="A714" s="40"/>
    </row>
    <row r="715" ht="14.25" customHeight="1">
      <c r="A715" s="40"/>
    </row>
    <row r="716" ht="14.25" customHeight="1">
      <c r="A716" s="40"/>
    </row>
    <row r="717" ht="14.25" customHeight="1">
      <c r="A717" s="40"/>
    </row>
    <row r="718" ht="14.25" customHeight="1">
      <c r="A718" s="40"/>
    </row>
    <row r="719" ht="14.25" customHeight="1">
      <c r="A719" s="40"/>
    </row>
    <row r="720" ht="14.25" customHeight="1">
      <c r="A720" s="40"/>
    </row>
    <row r="721" ht="14.25" customHeight="1">
      <c r="A721" s="40"/>
    </row>
    <row r="722" ht="14.25" customHeight="1">
      <c r="A722" s="40"/>
    </row>
    <row r="723" ht="14.25" customHeight="1">
      <c r="A723" s="40"/>
    </row>
    <row r="724" ht="14.25" customHeight="1">
      <c r="A724" s="40"/>
    </row>
    <row r="725" ht="14.25" customHeight="1">
      <c r="A725" s="40"/>
    </row>
    <row r="726" ht="14.25" customHeight="1">
      <c r="A726" s="40"/>
    </row>
    <row r="727" ht="14.25" customHeight="1">
      <c r="A727" s="40"/>
    </row>
    <row r="728" ht="14.25" customHeight="1">
      <c r="A728" s="40"/>
    </row>
    <row r="729" ht="14.25" customHeight="1">
      <c r="A729" s="40"/>
    </row>
    <row r="730" ht="14.25" customHeight="1">
      <c r="A730" s="40"/>
    </row>
    <row r="731" ht="14.25" customHeight="1">
      <c r="A731" s="40"/>
    </row>
    <row r="732" ht="14.25" customHeight="1">
      <c r="A732" s="40"/>
    </row>
    <row r="733" ht="14.25" customHeight="1">
      <c r="A733" s="40"/>
    </row>
    <row r="734" ht="14.25" customHeight="1">
      <c r="A734" s="40"/>
    </row>
    <row r="735" ht="14.25" customHeight="1">
      <c r="A735" s="40"/>
    </row>
    <row r="736" ht="14.25" customHeight="1">
      <c r="A736" s="40"/>
    </row>
    <row r="737" ht="14.25" customHeight="1">
      <c r="A737" s="40"/>
    </row>
    <row r="738" ht="14.25" customHeight="1">
      <c r="A738" s="40"/>
    </row>
    <row r="739" ht="14.25" customHeight="1">
      <c r="A739" s="40"/>
    </row>
    <row r="740" ht="14.25" customHeight="1">
      <c r="A740" s="40"/>
    </row>
    <row r="741" ht="14.25" customHeight="1">
      <c r="A741" s="40"/>
    </row>
    <row r="742" ht="14.25" customHeight="1">
      <c r="A742" s="40"/>
    </row>
    <row r="743" ht="14.25" customHeight="1">
      <c r="A743" s="40"/>
    </row>
    <row r="744" ht="14.25" customHeight="1">
      <c r="A744" s="40"/>
    </row>
    <row r="745" ht="14.25" customHeight="1">
      <c r="A745" s="40"/>
    </row>
    <row r="746" ht="14.25" customHeight="1">
      <c r="A746" s="40"/>
    </row>
    <row r="747" ht="14.25" customHeight="1">
      <c r="A747" s="40"/>
    </row>
    <row r="748" ht="14.25" customHeight="1">
      <c r="A748" s="40"/>
    </row>
    <row r="749" ht="14.25" customHeight="1">
      <c r="A749" s="40"/>
    </row>
    <row r="750" ht="14.25" customHeight="1">
      <c r="A750" s="40"/>
    </row>
    <row r="751" ht="14.25" customHeight="1">
      <c r="A751" s="40"/>
    </row>
    <row r="752" ht="14.25" customHeight="1">
      <c r="A752" s="40"/>
    </row>
    <row r="753" ht="14.25" customHeight="1">
      <c r="A753" s="40"/>
    </row>
    <row r="754" ht="14.25" customHeight="1">
      <c r="A754" s="40"/>
    </row>
    <row r="755" ht="14.25" customHeight="1">
      <c r="A755" s="40"/>
    </row>
    <row r="756" ht="14.25" customHeight="1">
      <c r="A756" s="40"/>
    </row>
    <row r="757" ht="14.25" customHeight="1">
      <c r="A757" s="40"/>
    </row>
    <row r="758" ht="14.25" customHeight="1">
      <c r="A758" s="40"/>
    </row>
    <row r="759" ht="14.25" customHeight="1">
      <c r="A759" s="40"/>
    </row>
    <row r="760" ht="14.25" customHeight="1">
      <c r="A760" s="40"/>
    </row>
    <row r="761" ht="14.25" customHeight="1">
      <c r="A761" s="40"/>
    </row>
    <row r="762" ht="14.25" customHeight="1">
      <c r="A762" s="40"/>
    </row>
    <row r="763" ht="14.25" customHeight="1">
      <c r="A763" s="40"/>
    </row>
    <row r="764" ht="14.25" customHeight="1">
      <c r="A764" s="40"/>
    </row>
    <row r="765" ht="14.25" customHeight="1">
      <c r="A765" s="40"/>
    </row>
    <row r="766" ht="14.25" customHeight="1">
      <c r="A766" s="40"/>
    </row>
    <row r="767" ht="14.25" customHeight="1">
      <c r="A767" s="40"/>
    </row>
    <row r="768" ht="14.25" customHeight="1">
      <c r="A768" s="40"/>
    </row>
    <row r="769" ht="14.25" customHeight="1">
      <c r="A769" s="40"/>
    </row>
    <row r="770" ht="14.25" customHeight="1">
      <c r="A770" s="40"/>
    </row>
    <row r="771" ht="14.25" customHeight="1">
      <c r="A771" s="40"/>
    </row>
    <row r="772" ht="14.25" customHeight="1">
      <c r="A772" s="40"/>
    </row>
    <row r="773" ht="14.25" customHeight="1">
      <c r="A773" s="40"/>
    </row>
    <row r="774" ht="14.25" customHeight="1">
      <c r="A774" s="40"/>
    </row>
    <row r="775" ht="14.25" customHeight="1">
      <c r="A775" s="40"/>
    </row>
    <row r="776" ht="14.25" customHeight="1">
      <c r="A776" s="40"/>
    </row>
    <row r="777" ht="14.25" customHeight="1">
      <c r="A777" s="40"/>
    </row>
    <row r="778" ht="14.25" customHeight="1">
      <c r="A778" s="40"/>
    </row>
    <row r="779" ht="14.25" customHeight="1">
      <c r="A779" s="40"/>
    </row>
    <row r="780" ht="14.25" customHeight="1">
      <c r="A780" s="40"/>
    </row>
    <row r="781" ht="14.25" customHeight="1">
      <c r="A781" s="40"/>
    </row>
    <row r="782" ht="14.25" customHeight="1">
      <c r="A782" s="40"/>
    </row>
    <row r="783" ht="14.25" customHeight="1">
      <c r="A783" s="40"/>
    </row>
    <row r="784" ht="14.25" customHeight="1">
      <c r="A784" s="40"/>
    </row>
    <row r="785" ht="14.25" customHeight="1">
      <c r="A785" s="40"/>
    </row>
    <row r="786" ht="14.25" customHeight="1">
      <c r="A786" s="40"/>
    </row>
    <row r="787" ht="14.25" customHeight="1">
      <c r="A787" s="40"/>
    </row>
    <row r="788" ht="14.25" customHeight="1">
      <c r="A788" s="40"/>
    </row>
    <row r="789" ht="14.25" customHeight="1">
      <c r="A789" s="40"/>
    </row>
    <row r="790" ht="14.25" customHeight="1">
      <c r="A790" s="40"/>
    </row>
    <row r="791" ht="14.25" customHeight="1">
      <c r="A791" s="40"/>
    </row>
    <row r="792" ht="14.25" customHeight="1">
      <c r="A792" s="40"/>
    </row>
    <row r="793" ht="14.25" customHeight="1">
      <c r="A793" s="40"/>
    </row>
    <row r="794" ht="14.25" customHeight="1">
      <c r="A794" s="40"/>
    </row>
    <row r="795" ht="14.25" customHeight="1">
      <c r="A795" s="40"/>
    </row>
    <row r="796" ht="14.25" customHeight="1">
      <c r="A796" s="40"/>
    </row>
    <row r="797" ht="14.25" customHeight="1">
      <c r="A797" s="40"/>
    </row>
    <row r="798" ht="14.25" customHeight="1">
      <c r="A798" s="40"/>
    </row>
    <row r="799" ht="14.25" customHeight="1">
      <c r="A799" s="40"/>
    </row>
    <row r="800" ht="14.25" customHeight="1">
      <c r="A800" s="40"/>
    </row>
    <row r="801" ht="14.25" customHeight="1">
      <c r="A801" s="40"/>
    </row>
    <row r="802" ht="14.25" customHeight="1">
      <c r="A802" s="40"/>
    </row>
    <row r="803" ht="14.25" customHeight="1">
      <c r="A803" s="40"/>
    </row>
    <row r="804" ht="14.25" customHeight="1">
      <c r="A804" s="40"/>
    </row>
    <row r="805" ht="14.25" customHeight="1">
      <c r="A805" s="40"/>
    </row>
    <row r="806" ht="14.25" customHeight="1">
      <c r="A806" s="40"/>
    </row>
    <row r="807" ht="14.25" customHeight="1">
      <c r="A807" s="40"/>
    </row>
    <row r="808" ht="14.25" customHeight="1">
      <c r="A808" s="40"/>
    </row>
    <row r="809" ht="14.25" customHeight="1">
      <c r="A809" s="40"/>
    </row>
    <row r="810" ht="14.25" customHeight="1">
      <c r="A810" s="40"/>
    </row>
    <row r="811" ht="14.25" customHeight="1">
      <c r="A811" s="40"/>
    </row>
    <row r="812" ht="14.25" customHeight="1">
      <c r="A812" s="40"/>
    </row>
    <row r="813" ht="14.25" customHeight="1">
      <c r="A813" s="40"/>
    </row>
    <row r="814" ht="14.25" customHeight="1">
      <c r="A814" s="40"/>
    </row>
    <row r="815" ht="14.25" customHeight="1">
      <c r="A815" s="40"/>
    </row>
    <row r="816" ht="14.25" customHeight="1">
      <c r="A816" s="40"/>
    </row>
    <row r="817" ht="14.25" customHeight="1">
      <c r="A817" s="40"/>
    </row>
    <row r="818" ht="14.25" customHeight="1">
      <c r="A818" s="40"/>
    </row>
    <row r="819" ht="14.25" customHeight="1">
      <c r="A819" s="40"/>
    </row>
    <row r="820" ht="14.25" customHeight="1">
      <c r="A820" s="40"/>
    </row>
    <row r="821" ht="14.25" customHeight="1">
      <c r="A821" s="40"/>
    </row>
    <row r="822" ht="14.25" customHeight="1">
      <c r="A822" s="40"/>
    </row>
    <row r="823" ht="14.25" customHeight="1">
      <c r="A823" s="40"/>
    </row>
    <row r="824" ht="14.25" customHeight="1">
      <c r="A824" s="40"/>
    </row>
    <row r="825" ht="14.25" customHeight="1">
      <c r="A825" s="40"/>
    </row>
    <row r="826" ht="14.25" customHeight="1">
      <c r="A826" s="40"/>
    </row>
    <row r="827" ht="14.25" customHeight="1">
      <c r="A827" s="40"/>
    </row>
    <row r="828" ht="14.25" customHeight="1">
      <c r="A828" s="40"/>
    </row>
    <row r="829" ht="14.25" customHeight="1">
      <c r="A829" s="40"/>
    </row>
    <row r="830" ht="14.25" customHeight="1">
      <c r="A830" s="40"/>
    </row>
    <row r="831" ht="14.25" customHeight="1">
      <c r="A831" s="40"/>
    </row>
    <row r="832" ht="14.25" customHeight="1">
      <c r="A832" s="40"/>
    </row>
    <row r="833" ht="14.25" customHeight="1">
      <c r="A833" s="40"/>
    </row>
    <row r="834" ht="14.25" customHeight="1">
      <c r="A834" s="40"/>
    </row>
    <row r="835" ht="14.25" customHeight="1">
      <c r="A835" s="40"/>
    </row>
    <row r="836" ht="14.25" customHeight="1">
      <c r="A836" s="40"/>
    </row>
    <row r="837" ht="14.25" customHeight="1">
      <c r="A837" s="40"/>
    </row>
    <row r="838" ht="14.25" customHeight="1">
      <c r="A838" s="40"/>
    </row>
    <row r="839" ht="14.25" customHeight="1">
      <c r="A839" s="40"/>
    </row>
    <row r="840" ht="14.25" customHeight="1">
      <c r="A840" s="40"/>
    </row>
    <row r="841" ht="14.25" customHeight="1">
      <c r="A841" s="40"/>
    </row>
    <row r="842" ht="14.25" customHeight="1">
      <c r="A842" s="40"/>
    </row>
    <row r="843" ht="14.25" customHeight="1">
      <c r="A843" s="40"/>
    </row>
    <row r="844" ht="14.25" customHeight="1">
      <c r="A844" s="40"/>
    </row>
    <row r="845" ht="14.25" customHeight="1">
      <c r="A845" s="40"/>
    </row>
    <row r="846" ht="14.25" customHeight="1">
      <c r="A846" s="40"/>
    </row>
    <row r="847" ht="14.25" customHeight="1">
      <c r="A847" s="40"/>
    </row>
    <row r="848" ht="14.25" customHeight="1">
      <c r="A848" s="40"/>
    </row>
    <row r="849" ht="14.25" customHeight="1">
      <c r="A849" s="40"/>
    </row>
    <row r="850" ht="14.25" customHeight="1">
      <c r="A850" s="40"/>
    </row>
    <row r="851" ht="14.25" customHeight="1">
      <c r="A851" s="40"/>
    </row>
    <row r="852" ht="14.25" customHeight="1">
      <c r="A852" s="40"/>
    </row>
    <row r="853" ht="14.25" customHeight="1">
      <c r="A853" s="40"/>
    </row>
    <row r="854" ht="14.25" customHeight="1">
      <c r="A854" s="40"/>
    </row>
    <row r="855" ht="14.25" customHeight="1">
      <c r="A855" s="40"/>
    </row>
    <row r="856" ht="14.25" customHeight="1">
      <c r="A856" s="40"/>
    </row>
    <row r="857" ht="14.25" customHeight="1">
      <c r="A857" s="40"/>
    </row>
    <row r="858" ht="14.25" customHeight="1">
      <c r="A858" s="40"/>
    </row>
    <row r="859" ht="14.25" customHeight="1">
      <c r="A859" s="40"/>
    </row>
    <row r="860" ht="14.25" customHeight="1">
      <c r="A860" s="40"/>
    </row>
    <row r="861" ht="14.25" customHeight="1">
      <c r="A861" s="40"/>
    </row>
    <row r="862" ht="14.25" customHeight="1">
      <c r="A862" s="40"/>
    </row>
    <row r="863" ht="14.25" customHeight="1">
      <c r="A863" s="40"/>
    </row>
    <row r="864" ht="14.25" customHeight="1">
      <c r="A864" s="40"/>
    </row>
    <row r="865" ht="14.25" customHeight="1">
      <c r="A865" s="40"/>
    </row>
    <row r="866" ht="14.25" customHeight="1">
      <c r="A866" s="40"/>
    </row>
    <row r="867" ht="14.25" customHeight="1">
      <c r="A867" s="40"/>
    </row>
    <row r="868" ht="14.25" customHeight="1">
      <c r="A868" s="40"/>
    </row>
    <row r="869" ht="14.25" customHeight="1">
      <c r="A869" s="40"/>
    </row>
    <row r="870" ht="14.25" customHeight="1">
      <c r="A870" s="40"/>
    </row>
    <row r="871" ht="14.25" customHeight="1">
      <c r="A871" s="40"/>
    </row>
    <row r="872" ht="14.25" customHeight="1">
      <c r="A872" s="40"/>
    </row>
    <row r="873" ht="14.25" customHeight="1">
      <c r="A873" s="40"/>
    </row>
    <row r="874" ht="14.25" customHeight="1">
      <c r="A874" s="40"/>
    </row>
    <row r="875" ht="14.25" customHeight="1">
      <c r="A875" s="40"/>
    </row>
    <row r="876" ht="14.25" customHeight="1">
      <c r="A876" s="40"/>
    </row>
    <row r="877" ht="14.25" customHeight="1">
      <c r="A877" s="40"/>
    </row>
    <row r="878" ht="14.25" customHeight="1">
      <c r="A878" s="40"/>
    </row>
    <row r="879" ht="14.25" customHeight="1">
      <c r="A879" s="40"/>
    </row>
    <row r="880" ht="14.25" customHeight="1">
      <c r="A880" s="40"/>
    </row>
    <row r="881" ht="14.25" customHeight="1">
      <c r="A881" s="40"/>
    </row>
    <row r="882" ht="14.25" customHeight="1">
      <c r="A882" s="40"/>
    </row>
    <row r="883" ht="14.25" customHeight="1">
      <c r="A883" s="40"/>
    </row>
    <row r="884" ht="14.25" customHeight="1">
      <c r="A884" s="40"/>
    </row>
    <row r="885" ht="14.25" customHeight="1">
      <c r="A885" s="40"/>
    </row>
    <row r="886" ht="14.25" customHeight="1">
      <c r="A886" s="40"/>
    </row>
    <row r="887" ht="14.25" customHeight="1">
      <c r="A887" s="40"/>
    </row>
    <row r="888" ht="14.25" customHeight="1">
      <c r="A888" s="40"/>
    </row>
    <row r="889" ht="14.25" customHeight="1">
      <c r="A889" s="40"/>
    </row>
    <row r="890" ht="14.25" customHeight="1">
      <c r="A890" s="40"/>
    </row>
    <row r="891" ht="14.25" customHeight="1">
      <c r="A891" s="40"/>
    </row>
    <row r="892" ht="14.25" customHeight="1">
      <c r="A892" s="40"/>
    </row>
    <row r="893" ht="14.25" customHeight="1">
      <c r="A893" s="40"/>
    </row>
    <row r="894" ht="14.25" customHeight="1">
      <c r="A894" s="40"/>
    </row>
    <row r="895" ht="14.25" customHeight="1">
      <c r="A895" s="40"/>
    </row>
    <row r="896" ht="14.25" customHeight="1">
      <c r="A896" s="40"/>
    </row>
    <row r="897" ht="14.25" customHeight="1">
      <c r="A897" s="40"/>
    </row>
    <row r="898" ht="14.25" customHeight="1">
      <c r="A898" s="40"/>
    </row>
    <row r="899" ht="14.25" customHeight="1">
      <c r="A899" s="40"/>
    </row>
    <row r="900" ht="14.25" customHeight="1">
      <c r="A900" s="40"/>
    </row>
    <row r="901" ht="14.25" customHeight="1">
      <c r="A901" s="40"/>
    </row>
    <row r="902" ht="14.25" customHeight="1">
      <c r="A902" s="40"/>
    </row>
    <row r="903" ht="14.25" customHeight="1">
      <c r="A903" s="40"/>
    </row>
    <row r="904" ht="14.25" customHeight="1">
      <c r="A904" s="40"/>
    </row>
    <row r="905" ht="14.25" customHeight="1">
      <c r="A905" s="40"/>
    </row>
    <row r="906" ht="14.25" customHeight="1">
      <c r="A906" s="40"/>
    </row>
    <row r="907" ht="14.25" customHeight="1">
      <c r="A907" s="40"/>
    </row>
    <row r="908" ht="14.25" customHeight="1">
      <c r="A908" s="40"/>
    </row>
    <row r="909" ht="14.25" customHeight="1">
      <c r="A909" s="40"/>
    </row>
    <row r="910" ht="14.25" customHeight="1">
      <c r="A910" s="40"/>
    </row>
    <row r="911" ht="14.25" customHeight="1">
      <c r="A911" s="40"/>
    </row>
    <row r="912" ht="14.25" customHeight="1">
      <c r="A912" s="40"/>
    </row>
    <row r="913" ht="14.25" customHeight="1">
      <c r="A913" s="40"/>
    </row>
    <row r="914" ht="14.25" customHeight="1">
      <c r="A914" s="40"/>
    </row>
    <row r="915" ht="14.25" customHeight="1">
      <c r="A915" s="40"/>
    </row>
    <row r="916" ht="14.25" customHeight="1">
      <c r="A916" s="40"/>
    </row>
    <row r="917" ht="14.25" customHeight="1">
      <c r="A917" s="40"/>
    </row>
    <row r="918" ht="14.25" customHeight="1">
      <c r="A918" s="40"/>
    </row>
    <row r="919" ht="14.25" customHeight="1">
      <c r="A919" s="40"/>
    </row>
    <row r="920" ht="14.25" customHeight="1">
      <c r="A920" s="40"/>
    </row>
    <row r="921" ht="14.25" customHeight="1">
      <c r="A921" s="40"/>
    </row>
    <row r="922" ht="14.25" customHeight="1">
      <c r="A922" s="40"/>
    </row>
    <row r="923" ht="14.25" customHeight="1">
      <c r="A923" s="40"/>
    </row>
    <row r="924" ht="14.25" customHeight="1">
      <c r="A924" s="40"/>
    </row>
    <row r="925" ht="14.25" customHeight="1">
      <c r="A925" s="40"/>
    </row>
    <row r="926" ht="14.25" customHeight="1">
      <c r="A926" s="40"/>
    </row>
    <row r="927" ht="14.25" customHeight="1">
      <c r="A927" s="40"/>
    </row>
    <row r="928" ht="14.25" customHeight="1">
      <c r="A928" s="40"/>
    </row>
    <row r="929" ht="14.25" customHeight="1">
      <c r="A929" s="40"/>
    </row>
    <row r="930" ht="14.25" customHeight="1">
      <c r="A930" s="40"/>
    </row>
    <row r="931" ht="14.25" customHeight="1">
      <c r="A931" s="40"/>
    </row>
    <row r="932" ht="14.25" customHeight="1">
      <c r="A932" s="40"/>
    </row>
    <row r="933" ht="14.25" customHeight="1">
      <c r="A933" s="40"/>
    </row>
    <row r="934" ht="14.25" customHeight="1">
      <c r="A934" s="40"/>
    </row>
    <row r="935" ht="14.25" customHeight="1">
      <c r="A935" s="40"/>
    </row>
    <row r="936" ht="14.25" customHeight="1">
      <c r="A936" s="40"/>
    </row>
    <row r="937" ht="14.25" customHeight="1">
      <c r="A937" s="40"/>
    </row>
    <row r="938" ht="14.25" customHeight="1">
      <c r="A938" s="40"/>
    </row>
    <row r="939" ht="14.25" customHeight="1">
      <c r="A939" s="40"/>
    </row>
    <row r="940" ht="14.25" customHeight="1">
      <c r="A940" s="40"/>
    </row>
    <row r="941" ht="14.25" customHeight="1">
      <c r="A941" s="40"/>
    </row>
    <row r="942" ht="14.25" customHeight="1">
      <c r="A942" s="40"/>
    </row>
    <row r="943" ht="14.25" customHeight="1">
      <c r="A943" s="40"/>
    </row>
    <row r="944" ht="14.25" customHeight="1">
      <c r="A944" s="40"/>
    </row>
    <row r="945" ht="14.25" customHeight="1">
      <c r="A945" s="40"/>
    </row>
    <row r="946" ht="14.25" customHeight="1">
      <c r="A946" s="40"/>
    </row>
    <row r="947" ht="14.25" customHeight="1">
      <c r="A947" s="40"/>
    </row>
    <row r="948" ht="14.25" customHeight="1">
      <c r="A948" s="40"/>
    </row>
    <row r="949" ht="14.25" customHeight="1">
      <c r="A949" s="40"/>
    </row>
    <row r="950" ht="14.25" customHeight="1">
      <c r="A950" s="40"/>
    </row>
    <row r="951" ht="14.25" customHeight="1">
      <c r="A951" s="40"/>
    </row>
    <row r="952" ht="14.25" customHeight="1">
      <c r="A952" s="40"/>
    </row>
    <row r="953" ht="14.25" customHeight="1">
      <c r="A953" s="40"/>
    </row>
    <row r="954" ht="14.25" customHeight="1">
      <c r="A954" s="40"/>
    </row>
    <row r="955" ht="14.25" customHeight="1">
      <c r="A955" s="40"/>
    </row>
    <row r="956" ht="14.25" customHeight="1">
      <c r="A956" s="40"/>
    </row>
    <row r="957" ht="14.25" customHeight="1">
      <c r="A957" s="40"/>
    </row>
    <row r="958" ht="14.25" customHeight="1">
      <c r="A958" s="40"/>
    </row>
    <row r="959" ht="14.25" customHeight="1">
      <c r="A959" s="40"/>
    </row>
    <row r="960" ht="14.25" customHeight="1">
      <c r="A960" s="40"/>
    </row>
    <row r="961" ht="14.25" customHeight="1">
      <c r="A961" s="40"/>
    </row>
    <row r="962" ht="14.25" customHeight="1">
      <c r="A962" s="40"/>
    </row>
    <row r="963" ht="14.25" customHeight="1">
      <c r="A963" s="40"/>
    </row>
    <row r="964" ht="14.25" customHeight="1">
      <c r="A964" s="40"/>
    </row>
    <row r="965" ht="14.25" customHeight="1">
      <c r="A965" s="40"/>
    </row>
    <row r="966" ht="14.25" customHeight="1">
      <c r="A966" s="40"/>
    </row>
    <row r="967" ht="14.25" customHeight="1">
      <c r="A967" s="40"/>
    </row>
    <row r="968" ht="14.25" customHeight="1">
      <c r="A968" s="40"/>
    </row>
    <row r="969" ht="14.25" customHeight="1">
      <c r="A969" s="40"/>
    </row>
    <row r="970" ht="14.25" customHeight="1">
      <c r="A970" s="40"/>
    </row>
    <row r="971" ht="14.25" customHeight="1">
      <c r="A971" s="40"/>
    </row>
    <row r="972" ht="14.25" customHeight="1">
      <c r="A972" s="40"/>
    </row>
    <row r="973" ht="14.25" customHeight="1">
      <c r="A973" s="40"/>
    </row>
    <row r="974" ht="14.25" customHeight="1">
      <c r="A974" s="40"/>
    </row>
    <row r="975" ht="14.25" customHeight="1">
      <c r="A975" s="40"/>
    </row>
    <row r="976" ht="14.25" customHeight="1">
      <c r="A976" s="40"/>
    </row>
    <row r="977" ht="14.25" customHeight="1">
      <c r="A977" s="40"/>
    </row>
    <row r="978" ht="14.25" customHeight="1">
      <c r="A978" s="40"/>
    </row>
    <row r="979" ht="14.25" customHeight="1">
      <c r="A979" s="40"/>
    </row>
    <row r="980" ht="14.25" customHeight="1">
      <c r="A980" s="40"/>
    </row>
    <row r="981" ht="14.25" customHeight="1">
      <c r="A981" s="40"/>
    </row>
  </sheetData>
  <mergeCells count="1">
    <mergeCell ref="G11:I19"/>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4.43" defaultRowHeight="15.0"/>
  <cols>
    <col customWidth="1" min="1" max="1" width="24.57"/>
    <col customWidth="1" min="27" max="27" width="8.71"/>
    <col customWidth="1" min="28" max="47" width="12.43"/>
    <col customWidth="1" min="48" max="52" width="8.71"/>
  </cols>
  <sheetData>
    <row r="1" ht="14.25" customHeight="1">
      <c r="A1" s="62"/>
      <c r="B1" s="28"/>
      <c r="C1" s="63"/>
    </row>
    <row r="2" ht="14.25" customHeight="1">
      <c r="A2" s="56" t="str">
        <f t="array" ref="A2">INDEX(Evaluation!DF6:DF12, 'Sensitivity Analysis'!S4)</f>
        <v>Sterilization</v>
      </c>
      <c r="B2" s="64" t="s">
        <v>41</v>
      </c>
      <c r="C2" s="54"/>
      <c r="D2" s="54"/>
      <c r="E2" s="54"/>
      <c r="F2" s="54"/>
      <c r="G2" s="54"/>
      <c r="H2" s="54"/>
      <c r="I2" s="54"/>
      <c r="J2" s="54"/>
      <c r="K2" s="54"/>
      <c r="L2" s="54"/>
      <c r="M2" s="54"/>
      <c r="N2" s="54"/>
      <c r="O2" s="54"/>
      <c r="P2" s="54"/>
      <c r="Q2" s="54"/>
      <c r="R2" s="54"/>
      <c r="S2" s="54"/>
      <c r="T2" s="54"/>
      <c r="U2" s="54"/>
      <c r="V2" s="54"/>
      <c r="W2" s="54"/>
      <c r="X2" s="54"/>
      <c r="Y2" s="54"/>
      <c r="Z2" s="55"/>
      <c r="AB2" s="53" t="s">
        <v>42</v>
      </c>
      <c r="AC2" s="54"/>
      <c r="AD2" s="54"/>
      <c r="AE2" s="54"/>
      <c r="AF2" s="54"/>
      <c r="AG2" s="54"/>
      <c r="AH2" s="54"/>
      <c r="AI2" s="54"/>
      <c r="AJ2" s="54"/>
      <c r="AK2" s="54"/>
      <c r="AL2" s="54"/>
      <c r="AM2" s="54"/>
      <c r="AN2" s="54"/>
      <c r="AO2" s="54"/>
      <c r="AP2" s="54"/>
      <c r="AQ2" s="54"/>
      <c r="AR2" s="54"/>
      <c r="AS2" s="54"/>
      <c r="AT2" s="54"/>
      <c r="AU2" s="55"/>
    </row>
    <row r="3" ht="14.25" customHeight="1">
      <c r="A3" s="56" t="s">
        <v>29</v>
      </c>
      <c r="B3" s="56" t="str">
        <f>'Raw Data'!A3</f>
        <v>Filter in spike, two chamber, clamp in</v>
      </c>
      <c r="C3" s="56" t="str">
        <f>'Raw Data'!A4</f>
        <v>Filter in bottom chamber, two chamber, clamp in</v>
      </c>
      <c r="D3" s="56" t="str">
        <f>'Raw Data'!A5</f>
        <v>Filter in spike, two chamber, screw in</v>
      </c>
      <c r="E3" s="56" t="str">
        <f>#REF!</f>
        <v>#REF!</v>
      </c>
      <c r="F3" s="56" t="str">
        <f>'Raw Data'!A6</f>
        <v>Filter in bottom chamber, two chamber, screw in</v>
      </c>
      <c r="G3" s="56" t="str">
        <f t="shared" ref="G3:I3" si="1">#REF!</f>
        <v>#REF!</v>
      </c>
      <c r="H3" s="56" t="str">
        <f t="shared" si="1"/>
        <v>#REF!</v>
      </c>
      <c r="I3" s="56" t="str">
        <f t="shared" si="1"/>
        <v>#REF!</v>
      </c>
      <c r="J3" s="56" t="str">
        <f>'Raw Data'!A7</f>
        <v>Single Chamber flat filter</v>
      </c>
      <c r="K3" s="56" t="str">
        <f>'Raw Data'!A8</f>
        <v>Single chamber, cone filter</v>
      </c>
      <c r="L3" s="56" t="str">
        <f>#REF!</f>
        <v>#REF!</v>
      </c>
      <c r="M3" s="56" t="str">
        <f t="shared" ref="M3:Z3" si="2">#REF!</f>
        <v>#REF!</v>
      </c>
      <c r="N3" s="56" t="str">
        <f t="shared" si="2"/>
        <v>#REF!</v>
      </c>
      <c r="O3" s="56" t="str">
        <f t="shared" si="2"/>
        <v>#REF!</v>
      </c>
      <c r="P3" s="56" t="str">
        <f t="shared" si="2"/>
        <v>#REF!</v>
      </c>
      <c r="Q3" s="56" t="str">
        <f t="shared" si="2"/>
        <v>#REF!</v>
      </c>
      <c r="R3" s="56" t="str">
        <f t="shared" si="2"/>
        <v>#REF!</v>
      </c>
      <c r="S3" s="56" t="str">
        <f t="shared" si="2"/>
        <v>#REF!</v>
      </c>
      <c r="T3" s="56" t="str">
        <f t="shared" si="2"/>
        <v>#REF!</v>
      </c>
      <c r="U3" s="56" t="str">
        <f t="shared" si="2"/>
        <v>#REF!</v>
      </c>
      <c r="V3" s="56" t="str">
        <f t="shared" si="2"/>
        <v>#REF!</v>
      </c>
      <c r="W3" s="56" t="str">
        <f t="shared" si="2"/>
        <v>#REF!</v>
      </c>
      <c r="X3" s="56" t="str">
        <f t="shared" si="2"/>
        <v>#REF!</v>
      </c>
      <c r="Y3" s="56" t="str">
        <f t="shared" si="2"/>
        <v>#REF!</v>
      </c>
      <c r="Z3" s="56" t="str">
        <f t="shared" si="2"/>
        <v>#REF!</v>
      </c>
      <c r="AA3" s="2"/>
      <c r="AB3" s="56" t="str">
        <f>'Raw Data'!B2</f>
        <v>Sterilization</v>
      </c>
      <c r="AC3" s="56" t="str">
        <f>'Raw Data'!C2</f>
        <v>Durability</v>
      </c>
      <c r="AD3" s="56" t="str">
        <f>'Raw Data'!D2</f>
        <v>Ease of Assembly</v>
      </c>
      <c r="AE3" s="56" t="str">
        <f>'Raw Data'!E2</f>
        <v>Leakage</v>
      </c>
      <c r="AF3" s="56" t="str">
        <f>'Raw Data'!F2</f>
        <v>Flow Control</v>
      </c>
      <c r="AG3" s="56" t="str">
        <f>'Raw Data'!G2</f>
        <v>Filter Compatability</v>
      </c>
      <c r="AH3" s="56" t="str">
        <f>'Raw Data'!H2</f>
        <v>Filter Surface Area</v>
      </c>
      <c r="AI3" s="56" t="str">
        <f t="shared" ref="AI3:AJ3" si="3">#REF!</f>
        <v>#REF!</v>
      </c>
      <c r="AJ3" s="56" t="str">
        <f t="shared" si="3"/>
        <v>#REF!</v>
      </c>
      <c r="AK3" s="56" t="str">
        <f t="shared" ref="AK3:AU3" si="4">#REF!</f>
        <v>#REF!</v>
      </c>
      <c r="AL3" s="56" t="str">
        <f t="shared" si="4"/>
        <v>#REF!</v>
      </c>
      <c r="AM3" s="56" t="str">
        <f t="shared" si="4"/>
        <v>#REF!</v>
      </c>
      <c r="AN3" s="56" t="str">
        <f t="shared" si="4"/>
        <v>#REF!</v>
      </c>
      <c r="AO3" s="56" t="str">
        <f t="shared" si="4"/>
        <v>#REF!</v>
      </c>
      <c r="AP3" s="56" t="str">
        <f t="shared" si="4"/>
        <v>#REF!</v>
      </c>
      <c r="AQ3" s="56" t="str">
        <f t="shared" si="4"/>
        <v>#REF!</v>
      </c>
      <c r="AR3" s="56" t="str">
        <f t="shared" si="4"/>
        <v>#REF!</v>
      </c>
      <c r="AS3" s="56" t="str">
        <f t="shared" si="4"/>
        <v>#REF!</v>
      </c>
      <c r="AT3" s="56" t="str">
        <f t="shared" si="4"/>
        <v>#REF!</v>
      </c>
      <c r="AU3" s="56" t="str">
        <f t="shared" si="4"/>
        <v>#REF!</v>
      </c>
      <c r="AV3" s="63" t="s">
        <v>32</v>
      </c>
      <c r="AW3" s="63" t="s">
        <v>43</v>
      </c>
      <c r="AX3" s="2"/>
      <c r="AY3" s="2"/>
      <c r="AZ3" s="2"/>
    </row>
    <row r="4" ht="14.25" customHeight="1">
      <c r="A4" s="65">
        <f>'Sensitivity Analysis'!R7</f>
        <v>0</v>
      </c>
      <c r="B4" s="37" t="str">
        <f>$AB4*'Calc - Scored'!$C$3 + $AC4*'Calc - Scored'!$D$3 + $AD4*'Calc - Scored'!$E$3 + $AE4*'Calc - Scored'!$F$3 + $AF4*'Calc - Scored'!$G$3 + $AG4*'Calc - Scored'!$H$3 + $AH4*'Calc - Scored'!$I$3 + $AI4*#REF! + $AJ4*#REF! + $AK4*#REF! + $AL4*#REF! + $AM4*#REF! + $AN4*#REF! + $AO4*#REF! + $AP4*#REF! + $AQ4*#REF! + $AR4*#REF! + $AS4*#REF! + $AT4*#REF! + $AU4*#REF!</f>
        <v>#REF!</v>
      </c>
      <c r="C4" s="37" t="str">
        <f>$AB4*'Calc - Scored'!$C$4 + $AC4*'Calc - Scored'!$D$4 + $AD4*'Calc - Scored'!$E$4 + $AE4*'Calc - Scored'!$F$4 + $AF4*'Calc - Scored'!$G$4 + $AG4*'Calc - Scored'!$H$4 + $AH4*'Calc - Scored'!$I$4 + $AI4*#REF! + $AJ4*#REF! + $AK4*#REF! + $AL4*#REF! + $AM4*#REF! + $AN4*#REF! + $AO4*#REF! + $AP4*#REF! + $AQ4*#REF! + $AR4*#REF! + $AS4*#REF! + $AT4*#REF! + $AU4*#REF!</f>
        <v>#REF!</v>
      </c>
      <c r="D4" s="37" t="str">
        <f>$AB4*'Calc - Scored'!$C$5 + $AC4*'Calc - Scored'!$D$5 + $AD4*'Calc - Scored'!$E$5 + $AE4*'Calc - Scored'!$F$5 + $AF4*'Calc - Scored'!$G$5 + $AG4*'Calc - Scored'!$H$5 + $AH4*'Calc - Scored'!$I$5 + $AI4*#REF! + $AJ4*#REF! + $AK4*#REF! + $AL4*#REF! + $AM4*#REF! + $AN4*#REF! + $AO4*#REF! + $AP4*#REF! + $AQ4*#REF! + $AR4*#REF! + $AS4*#REF! + $AT4*#REF! + $AU4*#REF!</f>
        <v>#REF!</v>
      </c>
      <c r="E4" s="37" t="str">
        <f t="shared" ref="E4:E14" si="7">$AB4*#REF! + $AC4*#REF! + $AD4*#REF! + $AE4*#REF! + $AF4*#REF! + $AG4*#REF! + $AH4*#REF! + $AI4*#REF! + $AJ4*#REF! + $AK4*#REF! + $AL4*#REF! + $AM4*#REF! + $AN4*#REF! + $AO4*#REF! + $AP4*#REF! + $AQ4*#REF! + $AR4*#REF! + $AS4*#REF! + $AT4*#REF! + $AU4*#REF!</f>
        <v>#REF!</v>
      </c>
      <c r="F4" s="37" t="str">
        <f>$AB4*'Calc - Scored'!$C$6 + $AC4*'Calc - Scored'!$D$6 + $AD4*'Calc - Scored'!$E$6 + $AE4*'Calc - Scored'!$F$6 + $AF4*'Calc - Scored'!$G$6 + $AG4*'Calc - Scored'!$H$6 + $AH4*'Calc - Scored'!$I$6 + $AI4*#REF! + $AJ4*#REF! + $AK4*#REF! + $AL4*#REF! + $AM4*#REF! + $AN4*#REF! + $AO4*#REF! + $AP4*#REF! + $AQ4*#REF! + $AR4*#REF! + $AS4*#REF! + $AT4*#REF! + $AU4*#REF!</f>
        <v>#REF!</v>
      </c>
      <c r="G4" s="37" t="str">
        <f t="shared" ref="G4:I4" si="5">$AB4*#REF! + $AC4*#REF! + $AD4*#REF! + $AE4*#REF! + $AF4*#REF! + $AG4*#REF! + $AH4*#REF! + $AI4*#REF! + $AJ4*#REF! + $AK4*#REF! + $AL4*#REF! + $AM4*#REF! + $AN4*#REF! + $AO4*#REF! + $AP4*#REF! + $AQ4*#REF! + $AR4*#REF! + $AS4*#REF! + $AT4*#REF! + $AU4*#REF!</f>
        <v>#REF!</v>
      </c>
      <c r="H4" s="37" t="str">
        <f t="shared" si="5"/>
        <v>#REF!</v>
      </c>
      <c r="I4" s="37" t="str">
        <f t="shared" si="5"/>
        <v>#REF!</v>
      </c>
      <c r="J4" s="37" t="str">
        <f>$AB4*'Calc - Scored'!$C$7 + $AC4*'Calc - Scored'!$D$7 + $AD4*'Calc - Scored'!$E$7 + $AE4*'Calc - Scored'!$F$7 + $AF4*'Calc - Scored'!$G$7 + $AG4*'Calc - Scored'!$H$7 + $AH4*'Calc - Scored'!$I$7 + $AI4*#REF! + $AJ4*#REF! + $AK4*#REF! + $AL4*#REF! + $AM4*#REF! + $AN4*#REF! + $AO4*#REF! + $AP4*#REF! + $AQ4*#REF! + $AR4*#REF! + $AS4*#REF! + $AT4*#REF! + $AU4*#REF!</f>
        <v>#REF!</v>
      </c>
      <c r="K4" s="37" t="str">
        <f>$AB4*'Calc - Scored'!$C$8 + $AC4*'Calc - Scored'!$D$8 + $AD4*'Calc - Scored'!$E$8 + $AE4*'Calc - Scored'!$F$8 + $AF4*'Calc - Scored'!$G$8 + $AG4*'Calc - Scored'!$H$8 + $AH4*'Calc - Scored'!$I$8 + $AI4*#REF! + $AJ4*#REF! + $AK4*#REF! + $AL4*#REF! + $AM4*#REF! + $AN4*#REF! + $AO4*#REF! + $AP4*#REF! + $AQ4*#REF! + $AR4*#REF! + $AS4*#REF! + $AT4*#REF! + $AU4*#REF!</f>
        <v>#REF!</v>
      </c>
      <c r="L4" s="37" t="str">
        <f t="shared" ref="L4:L14" si="9">$AB4*#REF! + $AC4*#REF! + $AD4*#REF! + $AE4*#REF! + $AF4*#REF! + $AG4*#REF! + $AH4*#REF! + $AI4*#REF! + $AJ4*#REF! + $AK4*#REF! + $AL4*#REF! + $AM4*#REF! + $AN4*#REF! + $AO4*#REF! + $AP4*#REF! + $AQ4*#REF! + $AR4*#REF! + $AS4*#REF! + $AT4*#REF! + $AU4*#REF!</f>
        <v>#REF!</v>
      </c>
      <c r="M4" s="37" t="str">
        <f t="shared" ref="M4:Z4" si="6">$AB4*#REF! + $AC4*#REF! + $AD4*#REF! + $AE4*#REF! + $AF4*#REF! + $AG4*#REF! + $AH4*#REF! + $AI4*#REF! + $AJ4*#REF! + $AK4*#REF! + $AL4*#REF! + $AM4*#REF! + $AN4*#REF! + $AO4*#REF! + $AP4*#REF! + $AQ4*#REF! + $AR4*#REF! + $AS4*#REF! + $AT4*#REF! + $AU4*#REF!</f>
        <v>#REF!</v>
      </c>
      <c r="N4" s="37" t="str">
        <f t="shared" si="6"/>
        <v>#REF!</v>
      </c>
      <c r="O4" s="37" t="str">
        <f t="shared" si="6"/>
        <v>#REF!</v>
      </c>
      <c r="P4" s="37" t="str">
        <f t="shared" si="6"/>
        <v>#REF!</v>
      </c>
      <c r="Q4" s="37" t="str">
        <f t="shared" si="6"/>
        <v>#REF!</v>
      </c>
      <c r="R4" s="37" t="str">
        <f t="shared" si="6"/>
        <v>#REF!</v>
      </c>
      <c r="S4" s="37" t="str">
        <f t="shared" si="6"/>
        <v>#REF!</v>
      </c>
      <c r="T4" s="37" t="str">
        <f t="shared" si="6"/>
        <v>#REF!</v>
      </c>
      <c r="U4" s="37" t="str">
        <f t="shared" si="6"/>
        <v>#REF!</v>
      </c>
      <c r="V4" s="37" t="str">
        <f t="shared" si="6"/>
        <v>#REF!</v>
      </c>
      <c r="W4" s="37" t="str">
        <f t="shared" si="6"/>
        <v>#REF!</v>
      </c>
      <c r="X4" s="37" t="str">
        <f t="shared" si="6"/>
        <v>#REF!</v>
      </c>
      <c r="Y4" s="37" t="str">
        <f t="shared" si="6"/>
        <v>#REF!</v>
      </c>
      <c r="Z4" s="37" t="str">
        <f t="shared" si="6"/>
        <v>#REF!</v>
      </c>
      <c r="AB4" s="66">
        <f>IF(AB$15="X",$A4, Evaluation!$DG$6 * (100 - $A4) / (100 - WeightOriginal))</f>
        <v>0</v>
      </c>
      <c r="AC4" s="37">
        <f>IF(AC$15="X",$A4,Evaluation!$DG$7 * (100 - $A4) / (100 - WeightOriginal))</f>
        <v>11.76470588</v>
      </c>
      <c r="AD4" s="37">
        <f>IF(AD$15="X",$A4,Evaluation!$DG$8 * (100 - $A4) / (100 - WeightOriginal))</f>
        <v>17.64705882</v>
      </c>
      <c r="AE4" s="37">
        <f>IF(AE$15="X",$A4,Evaluation!$DG$9 * (100 - $A4) / (100 - WeightOriginal))</f>
        <v>11.76470588</v>
      </c>
      <c r="AF4" s="37">
        <f>IF(AF$15="X",$A4,Evaluation!$DG$10 * (100 - $A4) / (100 - WeightOriginal))</f>
        <v>11.76470588</v>
      </c>
      <c r="AG4" s="37">
        <f>IF(AG$15="X",$A4,Evaluation!$DG$11 * (100 - $A4) / (100 - WeightOriginal))</f>
        <v>23.52941176</v>
      </c>
      <c r="AH4" s="37">
        <f>IF(AH$15="X",$A4,Evaluation!$DG$12 * (100 - $A4) / (100 - WeightOriginal))</f>
        <v>23.52941176</v>
      </c>
      <c r="AI4" s="37" t="str">
        <f>IF(AI$15="X",$A4,#REF! * (100 - $A4) / (100 - WeightOriginal))</f>
        <v>#REF!</v>
      </c>
      <c r="AJ4" s="37" t="str">
        <f>IF(AJ$15="X",$A4,#REF! * (100 - $A4) / (100 - WeightOriginal))</f>
        <v>#REF!</v>
      </c>
      <c r="AK4" s="37" t="str">
        <f>IF(AK$15="X",$A4,#REF! * (100 - $A4) / (100 - WeightOriginal))</f>
        <v>#REF!</v>
      </c>
      <c r="AL4" s="37" t="str">
        <f>IF(AL$15="X",$A4,#REF! * (100 - $A4) / (100 - WeightOriginal))</f>
        <v>#REF!</v>
      </c>
      <c r="AM4" s="37" t="str">
        <f>IF(AM$15="X",$A4,#REF! * (100 - $A4) / (100 - WeightOriginal))</f>
        <v>#REF!</v>
      </c>
      <c r="AN4" s="37" t="str">
        <f>IF(AN$15="X",$A4,#REF! * (100 - $A4) / (100 - WeightOriginal))</f>
        <v>#REF!</v>
      </c>
      <c r="AO4" s="37" t="str">
        <f>IF(AO$15="X",$A4,#REF! * (100 - $A4) / (100 - WeightOriginal))</f>
        <v>#REF!</v>
      </c>
      <c r="AP4" s="37" t="str">
        <f>IF(AP$15="X",$A4,#REF! * (100 - $A4) / (100 - WeightOriginal))</f>
        <v>#REF!</v>
      </c>
      <c r="AQ4" s="37" t="str">
        <f>IF(AQ$15="X",$A4,#REF! * (100 - $A4) / (100 - WeightOriginal))</f>
        <v>#REF!</v>
      </c>
      <c r="AR4" s="37" t="str">
        <f>IF(AR$15="X",$A4,#REF! * (100 - $A4) / (100 - WeightOriginal))</f>
        <v>#REF!</v>
      </c>
      <c r="AS4" s="37" t="str">
        <f>IF(AS$15="X",$A4,#REF! * (100 - $A4) / (100 - WeightOriginal))</f>
        <v>#REF!</v>
      </c>
      <c r="AT4" s="37" t="str">
        <f>IF(AT$15="X",$A4,#REF! * (100 - $A4) / (100 - WeightOriginal))</f>
        <v>#REF!</v>
      </c>
      <c r="AU4" s="37" t="str">
        <f>IF(AU$15="X",$A4,#REF! * (100 - $A4) / (100 - WeightOriginal))</f>
        <v>#REF!</v>
      </c>
      <c r="AV4" s="67" t="str">
        <f t="shared" ref="AV4:AV14" si="11">SUM(AB4:AU4)</f>
        <v>#REF!</v>
      </c>
      <c r="AW4" s="61">
        <f>AB4-Evaluation!$DG$6</f>
        <v>-15</v>
      </c>
    </row>
    <row r="5" ht="14.25" customHeight="1">
      <c r="A5" s="65">
        <f>A$4 + (A$14-A$4)/10</f>
        <v>10</v>
      </c>
      <c r="B5" s="37" t="str">
        <f>$AB5*'Calc - Scored'!$C$3 + $AC5*'Calc - Scored'!$D$3 + $AD5*'Calc - Scored'!$E$3 + $AE5*'Calc - Scored'!$F$3 + $AF5*'Calc - Scored'!$G$3 + $AG5*'Calc - Scored'!$H$3 + $AH5*'Calc - Scored'!$I$3 + $AI5*#REF! + $AJ5*#REF! + $AK5*#REF! + $AL5*#REF! + $AM5*#REF! + $AN5*#REF! + $AO5*#REF! + $AP5*#REF! + $AQ5*#REF! + $AR5*#REF! + $AS5*#REF! + $AT5*#REF! + $AU5*#REF!</f>
        <v>#REF!</v>
      </c>
      <c r="C5" s="37" t="str">
        <f>$AB5*'Calc - Scored'!$C$4 + $AC5*'Calc - Scored'!$D$4 + $AD5*'Calc - Scored'!$E$4 + $AE5*'Calc - Scored'!$F$4 + $AF5*'Calc - Scored'!$G$4 + $AG5*'Calc - Scored'!$H$4 + $AH5*'Calc - Scored'!$I$4 + $AI5*#REF! + $AJ5*#REF! + $AK5*#REF! + $AL5*#REF! + $AM5*#REF! + $AN5*#REF! + $AO5*#REF! + $AP5*#REF! + $AQ5*#REF! + $AR5*#REF! + $AS5*#REF! + $AT5*#REF! + $AU5*#REF!</f>
        <v>#REF!</v>
      </c>
      <c r="D5" s="37" t="str">
        <f>$AB5*'Calc - Scored'!$C$5 + $AC5*'Calc - Scored'!$D$5 + $AD5*'Calc - Scored'!$E$5 + $AE5*'Calc - Scored'!$F$5 + $AF5*'Calc - Scored'!$G$5 + $AG5*'Calc - Scored'!$H$5 + $AH5*'Calc - Scored'!$I$5 + $AI5*#REF! + $AJ5*#REF! + $AK5*#REF! + $AL5*#REF! + $AM5*#REF! + $AN5*#REF! + $AO5*#REF! + $AP5*#REF! + $AQ5*#REF! + $AR5*#REF! + $AS5*#REF! + $AT5*#REF! + $AU5*#REF!</f>
        <v>#REF!</v>
      </c>
      <c r="E5" s="37" t="str">
        <f t="shared" si="7"/>
        <v>#REF!</v>
      </c>
      <c r="F5" s="37" t="str">
        <f>$AB5*'Calc - Scored'!$C$6 + $AC5*'Calc - Scored'!$D$6 + $AD5*'Calc - Scored'!$E$6 + $AE5*'Calc - Scored'!$F$6 + $AF5*'Calc - Scored'!$G$6 + $AG5*'Calc - Scored'!$H$6 + $AH5*'Calc - Scored'!$I$6 + $AI5*#REF! + $AJ5*#REF! + $AK5*#REF! + $AL5*#REF! + $AM5*#REF! + $AN5*#REF! + $AO5*#REF! + $AP5*#REF! + $AQ5*#REF! + $AR5*#REF! + $AS5*#REF! + $AT5*#REF! + $AU5*#REF!</f>
        <v>#REF!</v>
      </c>
      <c r="G5" s="37" t="str">
        <f t="shared" ref="G5:I5" si="8">$AB5*#REF! + $AC5*#REF! + $AD5*#REF! + $AE5*#REF! + $AF5*#REF! + $AG5*#REF! + $AH5*#REF! + $AI5*#REF! + $AJ5*#REF! + $AK5*#REF! + $AL5*#REF! + $AM5*#REF! + $AN5*#REF! + $AO5*#REF! + $AP5*#REF! + $AQ5*#REF! + $AR5*#REF! + $AS5*#REF! + $AT5*#REF! + $AU5*#REF!</f>
        <v>#REF!</v>
      </c>
      <c r="H5" s="37" t="str">
        <f t="shared" si="8"/>
        <v>#REF!</v>
      </c>
      <c r="I5" s="37" t="str">
        <f t="shared" si="8"/>
        <v>#REF!</v>
      </c>
      <c r="J5" s="37" t="str">
        <f>$AB5*'Calc - Scored'!$C$7 + $AC5*'Calc - Scored'!$D$7 + $AD5*'Calc - Scored'!$E$7 + $AE5*'Calc - Scored'!$F$7 + $AF5*'Calc - Scored'!$G$7 + $AG5*'Calc - Scored'!$H$7 + $AH5*'Calc - Scored'!$I$7 + $AI5*#REF! + $AJ5*#REF! + $AK5*#REF! + $AL5*#REF! + $AM5*#REF! + $AN5*#REF! + $AO5*#REF! + $AP5*#REF! + $AQ5*#REF! + $AR5*#REF! + $AS5*#REF! + $AT5*#REF! + $AU5*#REF!</f>
        <v>#REF!</v>
      </c>
      <c r="K5" s="37" t="str">
        <f>$AB5*'Calc - Scored'!$C$8 + $AC5*'Calc - Scored'!$D$8 + $AD5*'Calc - Scored'!$E$8 + $AE5*'Calc - Scored'!$F$8 + $AF5*'Calc - Scored'!$G$8 + $AG5*'Calc - Scored'!$H$8 + $AH5*'Calc - Scored'!$I$8 + $AI5*#REF! + $AJ5*#REF! + $AK5*#REF! + $AL5*#REF! + $AM5*#REF! + $AN5*#REF! + $AO5*#REF! + $AP5*#REF! + $AQ5*#REF! + $AR5*#REF! + $AS5*#REF! + $AT5*#REF! + $AU5*#REF!</f>
        <v>#REF!</v>
      </c>
      <c r="L5" s="37" t="str">
        <f t="shared" si="9"/>
        <v>#REF!</v>
      </c>
      <c r="M5" s="37" t="str">
        <f t="shared" ref="M5:Z5" si="10">$AB5*#REF! + $AC5*#REF! + $AD5*#REF! + $AE5*#REF! + $AF5*#REF! + $AG5*#REF! + $AH5*#REF! + $AI5*#REF! + $AJ5*#REF! + $AK5*#REF! + $AL5*#REF! + $AM5*#REF! + $AN5*#REF! + $AO5*#REF! + $AP5*#REF! + $AQ5*#REF! + $AR5*#REF! + $AS5*#REF! + $AT5*#REF! + $AU5*#REF!</f>
        <v>#REF!</v>
      </c>
      <c r="N5" s="37" t="str">
        <f t="shared" si="10"/>
        <v>#REF!</v>
      </c>
      <c r="O5" s="37" t="str">
        <f t="shared" si="10"/>
        <v>#REF!</v>
      </c>
      <c r="P5" s="37" t="str">
        <f t="shared" si="10"/>
        <v>#REF!</v>
      </c>
      <c r="Q5" s="37" t="str">
        <f t="shared" si="10"/>
        <v>#REF!</v>
      </c>
      <c r="R5" s="37" t="str">
        <f t="shared" si="10"/>
        <v>#REF!</v>
      </c>
      <c r="S5" s="37" t="str">
        <f t="shared" si="10"/>
        <v>#REF!</v>
      </c>
      <c r="T5" s="37" t="str">
        <f t="shared" si="10"/>
        <v>#REF!</v>
      </c>
      <c r="U5" s="37" t="str">
        <f t="shared" si="10"/>
        <v>#REF!</v>
      </c>
      <c r="V5" s="37" t="str">
        <f t="shared" si="10"/>
        <v>#REF!</v>
      </c>
      <c r="W5" s="37" t="str">
        <f t="shared" si="10"/>
        <v>#REF!</v>
      </c>
      <c r="X5" s="37" t="str">
        <f t="shared" si="10"/>
        <v>#REF!</v>
      </c>
      <c r="Y5" s="37" t="str">
        <f t="shared" si="10"/>
        <v>#REF!</v>
      </c>
      <c r="Z5" s="37" t="str">
        <f t="shared" si="10"/>
        <v>#REF!</v>
      </c>
      <c r="AB5" s="66">
        <f>IF(AB$15="X",$A5, Evaluation!$DG$6 * (100 - $A5) / (100 - WeightOriginal))</f>
        <v>10</v>
      </c>
      <c r="AC5" s="37">
        <f>IF(AC$15="X",$A5,Evaluation!$DG$7 * (100 - $A5) / (100 - WeightOriginal))</f>
        <v>10.58823529</v>
      </c>
      <c r="AD5" s="37">
        <f>IF(AD$15="X",$A5,Evaluation!$DG$8 * (100 - $A5) / (100 - WeightOriginal))</f>
        <v>15.88235294</v>
      </c>
      <c r="AE5" s="37">
        <f>IF(AE$15="X",$A5,Evaluation!$DG$9 * (100 - $A5) / (100 - WeightOriginal))</f>
        <v>10.58823529</v>
      </c>
      <c r="AF5" s="37">
        <f>IF(AF$15="X",$A5,Evaluation!$DG$10 * (100 - $A5) / (100 - WeightOriginal))</f>
        <v>10.58823529</v>
      </c>
      <c r="AG5" s="37">
        <f>IF(AG$15="X",$A5,Evaluation!$DG$11 * (100 - $A5) / (100 - WeightOriginal))</f>
        <v>21.17647059</v>
      </c>
      <c r="AH5" s="37">
        <f>IF(AH$15="X",$A5,Evaluation!$DG$12 * (100 - $A5) / (100 - WeightOriginal))</f>
        <v>21.17647059</v>
      </c>
      <c r="AI5" s="37" t="str">
        <f>IF(AI$15="X",$A5,#REF! * (100 - $A5) / (100 - WeightOriginal))</f>
        <v>#REF!</v>
      </c>
      <c r="AJ5" s="37" t="str">
        <f>IF(AJ$15="X",$A5,#REF! * (100 - $A5) / (100 - WeightOriginal))</f>
        <v>#REF!</v>
      </c>
      <c r="AK5" s="37" t="str">
        <f>IF(AK$15="X",$A5,#REF! * (100 - $A5) / (100 - WeightOriginal))</f>
        <v>#REF!</v>
      </c>
      <c r="AL5" s="37" t="str">
        <f>IF(AL$15="X",$A5,#REF! * (100 - $A5) / (100 - WeightOriginal))</f>
        <v>#REF!</v>
      </c>
      <c r="AM5" s="37" t="str">
        <f>IF(AM$15="X",$A5,#REF! * (100 - $A5) / (100 - WeightOriginal))</f>
        <v>#REF!</v>
      </c>
      <c r="AN5" s="37" t="str">
        <f>IF(AN$15="X",$A5,#REF! * (100 - $A5) / (100 - WeightOriginal))</f>
        <v>#REF!</v>
      </c>
      <c r="AO5" s="37" t="str">
        <f>IF(AO$15="X",$A5,#REF! * (100 - $A5) / (100 - WeightOriginal))</f>
        <v>#REF!</v>
      </c>
      <c r="AP5" s="37" t="str">
        <f>IF(AP$15="X",$A5,#REF! * (100 - $A5) / (100 - WeightOriginal))</f>
        <v>#REF!</v>
      </c>
      <c r="AQ5" s="37" t="str">
        <f>IF(AQ$15="X",$A5,#REF! * (100 - $A5) / (100 - WeightOriginal))</f>
        <v>#REF!</v>
      </c>
      <c r="AR5" s="37" t="str">
        <f>IF(AR$15="X",$A5,#REF! * (100 - $A5) / (100 - WeightOriginal))</f>
        <v>#REF!</v>
      </c>
      <c r="AS5" s="37" t="str">
        <f>IF(AS$15="X",$A5,#REF! * (100 - $A5) / (100 - WeightOriginal))</f>
        <v>#REF!</v>
      </c>
      <c r="AT5" s="37" t="str">
        <f>IF(AT$15="X",$A5,#REF! * (100 - $A5) / (100 - WeightOriginal))</f>
        <v>#REF!</v>
      </c>
      <c r="AU5" s="37" t="str">
        <f>IF(AU$15="X",$A5,#REF! * (100 - $A5) / (100 - WeightOriginal))</f>
        <v>#REF!</v>
      </c>
      <c r="AV5" s="67" t="str">
        <f t="shared" si="11"/>
        <v>#REF!</v>
      </c>
      <c r="AW5" s="61">
        <f>AB5-Evaluation!$DG$6</f>
        <v>-5</v>
      </c>
      <c r="AZ5" s="3" t="s">
        <v>44</v>
      </c>
    </row>
    <row r="6" ht="14.25" customHeight="1">
      <c r="A6" s="65">
        <f>A$4 + 2*(A$14-A$4)/10</f>
        <v>20</v>
      </c>
      <c r="B6" s="37" t="str">
        <f>$AB6*'Calc - Scored'!$C$3 + $AC6*'Calc - Scored'!$D$3 + $AD6*'Calc - Scored'!$E$3 + $AE6*'Calc - Scored'!$F$3 + $AF6*'Calc - Scored'!$G$3 + $AG6*'Calc - Scored'!$H$3 + $AH6*'Calc - Scored'!$I$3 + $AI6*#REF! + $AJ6*#REF! + $AK6*#REF! + $AL6*#REF! + $AM6*#REF! + $AN6*#REF! + $AO6*#REF! + $AP6*#REF! + $AQ6*#REF! + $AR6*#REF! + $AS6*#REF! + $AT6*#REF! + $AU6*#REF!</f>
        <v>#REF!</v>
      </c>
      <c r="C6" s="37" t="str">
        <f>$AB6*'Calc - Scored'!$C$4 + $AC6*'Calc - Scored'!$D$4 + $AD6*'Calc - Scored'!$E$4 + $AE6*'Calc - Scored'!$F$4 + $AF6*'Calc - Scored'!$G$4 + $AG6*'Calc - Scored'!$H$4 + $AH6*'Calc - Scored'!$I$4 + $AI6*#REF! + $AJ6*#REF! + $AK6*#REF! + $AL6*#REF! + $AM6*#REF! + $AN6*#REF! + $AO6*#REF! + $AP6*#REF! + $AQ6*#REF! + $AR6*#REF! + $AS6*#REF! + $AT6*#REF! + $AU6*#REF!</f>
        <v>#REF!</v>
      </c>
      <c r="D6" s="37" t="str">
        <f>$AB6*'Calc - Scored'!$C$5 + $AC6*'Calc - Scored'!$D$5 + $AD6*'Calc - Scored'!$E$5 + $AE6*'Calc - Scored'!$F$5 + $AF6*'Calc - Scored'!$G$5 + $AG6*'Calc - Scored'!$H$5 + $AH6*'Calc - Scored'!$I$5 + $AI6*#REF! + $AJ6*#REF! + $AK6*#REF! + $AL6*#REF! + $AM6*#REF! + $AN6*#REF! + $AO6*#REF! + $AP6*#REF! + $AQ6*#REF! + $AR6*#REF! + $AS6*#REF! + $AT6*#REF! + $AU6*#REF!</f>
        <v>#REF!</v>
      </c>
      <c r="E6" s="37" t="str">
        <f t="shared" si="7"/>
        <v>#REF!</v>
      </c>
      <c r="F6" s="37" t="str">
        <f>$AB6*'Calc - Scored'!$C$6 + $AC6*'Calc - Scored'!$D$6 + $AD6*'Calc - Scored'!$E$6 + $AE6*'Calc - Scored'!$F$6 + $AF6*'Calc - Scored'!$G$6 + $AG6*'Calc - Scored'!$H$6 + $AH6*'Calc - Scored'!$I$6 + $AI6*#REF! + $AJ6*#REF! + $AK6*#REF! + $AL6*#REF! + $AM6*#REF! + $AN6*#REF! + $AO6*#REF! + $AP6*#REF! + $AQ6*#REF! + $AR6*#REF! + $AS6*#REF! + $AT6*#REF! + $AU6*#REF!</f>
        <v>#REF!</v>
      </c>
      <c r="G6" s="37" t="str">
        <f t="shared" ref="G6:I6" si="12">$AB6*#REF! + $AC6*#REF! + $AD6*#REF! + $AE6*#REF! + $AF6*#REF! + $AG6*#REF! + $AH6*#REF! + $AI6*#REF! + $AJ6*#REF! + $AK6*#REF! + $AL6*#REF! + $AM6*#REF! + $AN6*#REF! + $AO6*#REF! + $AP6*#REF! + $AQ6*#REF! + $AR6*#REF! + $AS6*#REF! + $AT6*#REF! + $AU6*#REF!</f>
        <v>#REF!</v>
      </c>
      <c r="H6" s="37" t="str">
        <f t="shared" si="12"/>
        <v>#REF!</v>
      </c>
      <c r="I6" s="37" t="str">
        <f t="shared" si="12"/>
        <v>#REF!</v>
      </c>
      <c r="J6" s="37" t="str">
        <f>$AB6*'Calc - Scored'!$C$7 + $AC6*'Calc - Scored'!$D$7 + $AD6*'Calc - Scored'!$E$7 + $AE6*'Calc - Scored'!$F$7 + $AF6*'Calc - Scored'!$G$7 + $AG6*'Calc - Scored'!$H$7 + $AH6*'Calc - Scored'!$I$7 + $AI6*#REF! + $AJ6*#REF! + $AK6*#REF! + $AL6*#REF! + $AM6*#REF! + $AN6*#REF! + $AO6*#REF! + $AP6*#REF! + $AQ6*#REF! + $AR6*#REF! + $AS6*#REF! + $AT6*#REF! + $AU6*#REF!</f>
        <v>#REF!</v>
      </c>
      <c r="K6" s="37" t="str">
        <f>$AB6*'Calc - Scored'!$C$8 + $AC6*'Calc - Scored'!$D$8 + $AD6*'Calc - Scored'!$E$8 + $AE6*'Calc - Scored'!$F$8 + $AF6*'Calc - Scored'!$G$8 + $AG6*'Calc - Scored'!$H$8 + $AH6*'Calc - Scored'!$I$8 + $AI6*#REF! + $AJ6*#REF! + $AK6*#REF! + $AL6*#REF! + $AM6*#REF! + $AN6*#REF! + $AO6*#REF! + $AP6*#REF! + $AQ6*#REF! + $AR6*#REF! + $AS6*#REF! + $AT6*#REF! + $AU6*#REF!</f>
        <v>#REF!</v>
      </c>
      <c r="L6" s="37" t="str">
        <f t="shared" si="9"/>
        <v>#REF!</v>
      </c>
      <c r="M6" s="37" t="str">
        <f t="shared" ref="M6:Z6" si="13">$AB6*#REF! + $AC6*#REF! + $AD6*#REF! + $AE6*#REF! + $AF6*#REF! + $AG6*#REF! + $AH6*#REF! + $AI6*#REF! + $AJ6*#REF! + $AK6*#REF! + $AL6*#REF! + $AM6*#REF! + $AN6*#REF! + $AO6*#REF! + $AP6*#REF! + $AQ6*#REF! + $AR6*#REF! + $AS6*#REF! + $AT6*#REF! + $AU6*#REF!</f>
        <v>#REF!</v>
      </c>
      <c r="N6" s="37" t="str">
        <f t="shared" si="13"/>
        <v>#REF!</v>
      </c>
      <c r="O6" s="37" t="str">
        <f t="shared" si="13"/>
        <v>#REF!</v>
      </c>
      <c r="P6" s="37" t="str">
        <f t="shared" si="13"/>
        <v>#REF!</v>
      </c>
      <c r="Q6" s="37" t="str">
        <f t="shared" si="13"/>
        <v>#REF!</v>
      </c>
      <c r="R6" s="37" t="str">
        <f t="shared" si="13"/>
        <v>#REF!</v>
      </c>
      <c r="S6" s="37" t="str">
        <f t="shared" si="13"/>
        <v>#REF!</v>
      </c>
      <c r="T6" s="37" t="str">
        <f t="shared" si="13"/>
        <v>#REF!</v>
      </c>
      <c r="U6" s="37" t="str">
        <f t="shared" si="13"/>
        <v>#REF!</v>
      </c>
      <c r="V6" s="37" t="str">
        <f t="shared" si="13"/>
        <v>#REF!</v>
      </c>
      <c r="W6" s="37" t="str">
        <f t="shared" si="13"/>
        <v>#REF!</v>
      </c>
      <c r="X6" s="37" t="str">
        <f t="shared" si="13"/>
        <v>#REF!</v>
      </c>
      <c r="Y6" s="37" t="str">
        <f t="shared" si="13"/>
        <v>#REF!</v>
      </c>
      <c r="Z6" s="37" t="str">
        <f t="shared" si="13"/>
        <v>#REF!</v>
      </c>
      <c r="AB6" s="66">
        <f>IF(AB$15="X",$A6, Evaluation!$DG$6 * (100 - $A6) / (100 - WeightOriginal))</f>
        <v>20</v>
      </c>
      <c r="AC6" s="37">
        <f>IF(AC$15="X",$A6,Evaluation!$DG$7 * (100 - $A6) / (100 - WeightOriginal))</f>
        <v>9.411764706</v>
      </c>
      <c r="AD6" s="37">
        <f>IF(AD$15="X",$A6,Evaluation!$DG$8 * (100 - $A6) / (100 - WeightOriginal))</f>
        <v>14.11764706</v>
      </c>
      <c r="AE6" s="37">
        <f>IF(AE$15="X",$A6,Evaluation!$DG$9 * (100 - $A6) / (100 - WeightOriginal))</f>
        <v>9.411764706</v>
      </c>
      <c r="AF6" s="37">
        <f>IF(AF$15="X",$A6,Evaluation!$DG$10 * (100 - $A6) / (100 - WeightOriginal))</f>
        <v>9.411764706</v>
      </c>
      <c r="AG6" s="37">
        <f>IF(AG$15="X",$A6,Evaluation!$DG$11 * (100 - $A6) / (100 - WeightOriginal))</f>
        <v>18.82352941</v>
      </c>
      <c r="AH6" s="37">
        <f>IF(AH$15="X",$A6,Evaluation!$DG$12 * (100 - $A6) / (100 - WeightOriginal))</f>
        <v>18.82352941</v>
      </c>
      <c r="AI6" s="37" t="str">
        <f>IF(AI$15="X",$A6,#REF! * (100 - $A6) / (100 - WeightOriginal))</f>
        <v>#REF!</v>
      </c>
      <c r="AJ6" s="37" t="str">
        <f>IF(AJ$15="X",$A6,#REF! * (100 - $A6) / (100 - WeightOriginal))</f>
        <v>#REF!</v>
      </c>
      <c r="AK6" s="37" t="str">
        <f>IF(AK$15="X",$A6,#REF! * (100 - $A6) / (100 - WeightOriginal))</f>
        <v>#REF!</v>
      </c>
      <c r="AL6" s="37" t="str">
        <f>IF(AL$15="X",$A6,#REF! * (100 - $A6) / (100 - WeightOriginal))</f>
        <v>#REF!</v>
      </c>
      <c r="AM6" s="37" t="str">
        <f>IF(AM$15="X",$A6,#REF! * (100 - $A6) / (100 - WeightOriginal))</f>
        <v>#REF!</v>
      </c>
      <c r="AN6" s="37" t="str">
        <f>IF(AN$15="X",$A6,#REF! * (100 - $A6) / (100 - WeightOriginal))</f>
        <v>#REF!</v>
      </c>
      <c r="AO6" s="37" t="str">
        <f>IF(AO$15="X",$A6,#REF! * (100 - $A6) / (100 - WeightOriginal))</f>
        <v>#REF!</v>
      </c>
      <c r="AP6" s="37" t="str">
        <f>IF(AP$15="X",$A6,#REF! * (100 - $A6) / (100 - WeightOriginal))</f>
        <v>#REF!</v>
      </c>
      <c r="AQ6" s="37" t="str">
        <f>IF(AQ$15="X",$A6,#REF! * (100 - $A6) / (100 - WeightOriginal))</f>
        <v>#REF!</v>
      </c>
      <c r="AR6" s="37" t="str">
        <f>IF(AR$15="X",$A6,#REF! * (100 - $A6) / (100 - WeightOriginal))</f>
        <v>#REF!</v>
      </c>
      <c r="AS6" s="37" t="str">
        <f>IF(AS$15="X",$A6,#REF! * (100 - $A6) / (100 - WeightOriginal))</f>
        <v>#REF!</v>
      </c>
      <c r="AT6" s="37" t="str">
        <f>IF(AT$15="X",$A6,#REF! * (100 - $A6) / (100 - WeightOriginal))</f>
        <v>#REF!</v>
      </c>
      <c r="AU6" s="37" t="str">
        <f>IF(AU$15="X",$A6,#REF! * (100 - $A6) / (100 - WeightOriginal))</f>
        <v>#REF!</v>
      </c>
      <c r="AV6" s="67" t="str">
        <f t="shared" si="11"/>
        <v>#REF!</v>
      </c>
      <c r="AW6" s="61">
        <f>AB6-Evaluation!$DG$6</f>
        <v>5</v>
      </c>
      <c r="AZ6" s="3" t="s">
        <v>45</v>
      </c>
    </row>
    <row r="7" ht="14.25" customHeight="1">
      <c r="A7" s="65">
        <f>A$4 + 3*(A$14-A$4)/10</f>
        <v>30</v>
      </c>
      <c r="B7" s="37" t="str">
        <f>$AB7*'Calc - Scored'!$C$3 + $AC7*'Calc - Scored'!$D$3 + $AD7*'Calc - Scored'!$E$3 + $AE7*'Calc - Scored'!$F$3 + $AF7*'Calc - Scored'!$G$3 + $AG7*'Calc - Scored'!$H$3 + $AH7*'Calc - Scored'!$I$3 + $AI7*#REF! + $AJ7*#REF! + $AK7*#REF! + $AL7*#REF! + $AM7*#REF! + $AN7*#REF! + $AO7*#REF! + $AP7*#REF! + $AQ7*#REF! + $AR7*#REF! + $AS7*#REF! + $AT7*#REF! + $AU7*#REF!</f>
        <v>#REF!</v>
      </c>
      <c r="C7" s="37" t="str">
        <f>$AB7*'Calc - Scored'!$C$4 + $AC7*'Calc - Scored'!$D$4 + $AD7*'Calc - Scored'!$E$4 + $AE7*'Calc - Scored'!$F$4 + $AF7*'Calc - Scored'!$G$4 + $AG7*'Calc - Scored'!$H$4 + $AH7*'Calc - Scored'!$I$4 + $AI7*#REF! + $AJ7*#REF! + $AK7*#REF! + $AL7*#REF! + $AM7*#REF! + $AN7*#REF! + $AO7*#REF! + $AP7*#REF! + $AQ7*#REF! + $AR7*#REF! + $AS7*#REF! + $AT7*#REF! + $AU7*#REF!</f>
        <v>#REF!</v>
      </c>
      <c r="D7" s="37" t="str">
        <f>$AB7*'Calc - Scored'!$C$5 + $AC7*'Calc - Scored'!$D$5 + $AD7*'Calc - Scored'!$E$5 + $AE7*'Calc - Scored'!$F$5 + $AF7*'Calc - Scored'!$G$5 + $AG7*'Calc - Scored'!$H$5 + $AH7*'Calc - Scored'!$I$5 + $AI7*#REF! + $AJ7*#REF! + $AK7*#REF! + $AL7*#REF! + $AM7*#REF! + $AN7*#REF! + $AO7*#REF! + $AP7*#REF! + $AQ7*#REF! + $AR7*#REF! + $AS7*#REF! + $AT7*#REF! + $AU7*#REF!</f>
        <v>#REF!</v>
      </c>
      <c r="E7" s="37" t="str">
        <f t="shared" si="7"/>
        <v>#REF!</v>
      </c>
      <c r="F7" s="37" t="str">
        <f>$AB7*'Calc - Scored'!$C$6 + $AC7*'Calc - Scored'!$D$6 + $AD7*'Calc - Scored'!$E$6 + $AE7*'Calc - Scored'!$F$6 + $AF7*'Calc - Scored'!$G$6 + $AG7*'Calc - Scored'!$H$6 + $AH7*'Calc - Scored'!$I$6 + $AI7*#REF! + $AJ7*#REF! + $AK7*#REF! + $AL7*#REF! + $AM7*#REF! + $AN7*#REF! + $AO7*#REF! + $AP7*#REF! + $AQ7*#REF! + $AR7*#REF! + $AS7*#REF! + $AT7*#REF! + $AU7*#REF!</f>
        <v>#REF!</v>
      </c>
      <c r="G7" s="37" t="str">
        <f t="shared" ref="G7:I7" si="14">$AB7*#REF! + $AC7*#REF! + $AD7*#REF! + $AE7*#REF! + $AF7*#REF! + $AG7*#REF! + $AH7*#REF! + $AI7*#REF! + $AJ7*#REF! + $AK7*#REF! + $AL7*#REF! + $AM7*#REF! + $AN7*#REF! + $AO7*#REF! + $AP7*#REF! + $AQ7*#REF! + $AR7*#REF! + $AS7*#REF! + $AT7*#REF! + $AU7*#REF!</f>
        <v>#REF!</v>
      </c>
      <c r="H7" s="37" t="str">
        <f t="shared" si="14"/>
        <v>#REF!</v>
      </c>
      <c r="I7" s="37" t="str">
        <f t="shared" si="14"/>
        <v>#REF!</v>
      </c>
      <c r="J7" s="37" t="str">
        <f>$AB7*'Calc - Scored'!$C$7 + $AC7*'Calc - Scored'!$D$7 + $AD7*'Calc - Scored'!$E$7 + $AE7*'Calc - Scored'!$F$7 + $AF7*'Calc - Scored'!$G$7 + $AG7*'Calc - Scored'!$H$7 + $AH7*'Calc - Scored'!$I$7 + $AI7*#REF! + $AJ7*#REF! + $AK7*#REF! + $AL7*#REF! + $AM7*#REF! + $AN7*#REF! + $AO7*#REF! + $AP7*#REF! + $AQ7*#REF! + $AR7*#REF! + $AS7*#REF! + $AT7*#REF! + $AU7*#REF!</f>
        <v>#REF!</v>
      </c>
      <c r="K7" s="37" t="str">
        <f>$AB7*'Calc - Scored'!$C$8 + $AC7*'Calc - Scored'!$D$8 + $AD7*'Calc - Scored'!$E$8 + $AE7*'Calc - Scored'!$F$8 + $AF7*'Calc - Scored'!$G$8 + $AG7*'Calc - Scored'!$H$8 + $AH7*'Calc - Scored'!$I$8 + $AI7*#REF! + $AJ7*#REF! + $AK7*#REF! + $AL7*#REF! + $AM7*#REF! + $AN7*#REF! + $AO7*#REF! + $AP7*#REF! + $AQ7*#REF! + $AR7*#REF! + $AS7*#REF! + $AT7*#REF! + $AU7*#REF!</f>
        <v>#REF!</v>
      </c>
      <c r="L7" s="37" t="str">
        <f t="shared" si="9"/>
        <v>#REF!</v>
      </c>
      <c r="M7" s="37" t="str">
        <f t="shared" ref="M7:Z7" si="15">$AB7*#REF! + $AC7*#REF! + $AD7*#REF! + $AE7*#REF! + $AF7*#REF! + $AG7*#REF! + $AH7*#REF! + $AI7*#REF! + $AJ7*#REF! + $AK7*#REF! + $AL7*#REF! + $AM7*#REF! + $AN7*#REF! + $AO7*#REF! + $AP7*#REF! + $AQ7*#REF! + $AR7*#REF! + $AS7*#REF! + $AT7*#REF! + $AU7*#REF!</f>
        <v>#REF!</v>
      </c>
      <c r="N7" s="37" t="str">
        <f t="shared" si="15"/>
        <v>#REF!</v>
      </c>
      <c r="O7" s="37" t="str">
        <f t="shared" si="15"/>
        <v>#REF!</v>
      </c>
      <c r="P7" s="37" t="str">
        <f t="shared" si="15"/>
        <v>#REF!</v>
      </c>
      <c r="Q7" s="37" t="str">
        <f t="shared" si="15"/>
        <v>#REF!</v>
      </c>
      <c r="R7" s="37" t="str">
        <f t="shared" si="15"/>
        <v>#REF!</v>
      </c>
      <c r="S7" s="37" t="str">
        <f t="shared" si="15"/>
        <v>#REF!</v>
      </c>
      <c r="T7" s="37" t="str">
        <f t="shared" si="15"/>
        <v>#REF!</v>
      </c>
      <c r="U7" s="37" t="str">
        <f t="shared" si="15"/>
        <v>#REF!</v>
      </c>
      <c r="V7" s="37" t="str">
        <f t="shared" si="15"/>
        <v>#REF!</v>
      </c>
      <c r="W7" s="37" t="str">
        <f t="shared" si="15"/>
        <v>#REF!</v>
      </c>
      <c r="X7" s="37" t="str">
        <f t="shared" si="15"/>
        <v>#REF!</v>
      </c>
      <c r="Y7" s="37" t="str">
        <f t="shared" si="15"/>
        <v>#REF!</v>
      </c>
      <c r="Z7" s="37" t="str">
        <f t="shared" si="15"/>
        <v>#REF!</v>
      </c>
      <c r="AB7" s="66">
        <f>IF(AB$15="X",$A7, Evaluation!$DG$6 * (100 - $A7) / (100 - WeightOriginal))</f>
        <v>30</v>
      </c>
      <c r="AC7" s="37">
        <f>IF(AC$15="X",$A7,Evaluation!$DG$7 * (100 - $A7) / (100 - WeightOriginal))</f>
        <v>8.235294118</v>
      </c>
      <c r="AD7" s="37">
        <f>IF(AD$15="X",$A7,Evaluation!$DG$8 * (100 - $A7) / (100 - WeightOriginal))</f>
        <v>12.35294118</v>
      </c>
      <c r="AE7" s="37">
        <f>IF(AE$15="X",$A7,Evaluation!$DG$9 * (100 - $A7) / (100 - WeightOriginal))</f>
        <v>8.235294118</v>
      </c>
      <c r="AF7" s="37">
        <f>IF(AF$15="X",$A7,Evaluation!$DG$10 * (100 - $A7) / (100 - WeightOriginal))</f>
        <v>8.235294118</v>
      </c>
      <c r="AG7" s="37">
        <f>IF(AG$15="X",$A7,Evaluation!$DG$11 * (100 - $A7) / (100 - WeightOriginal))</f>
        <v>16.47058824</v>
      </c>
      <c r="AH7" s="37">
        <f>IF(AH$15="X",$A7,Evaluation!$DG$12 * (100 - $A7) / (100 - WeightOriginal))</f>
        <v>16.47058824</v>
      </c>
      <c r="AI7" s="37" t="str">
        <f>IF(AI$15="X",$A7,#REF! * (100 - $A7) / (100 - WeightOriginal))</f>
        <v>#REF!</v>
      </c>
      <c r="AJ7" s="37" t="str">
        <f>IF(AJ$15="X",$A7,#REF! * (100 - $A7) / (100 - WeightOriginal))</f>
        <v>#REF!</v>
      </c>
      <c r="AK7" s="37" t="str">
        <f>IF(AK$15="X",$A7,#REF! * (100 - $A7) / (100 - WeightOriginal))</f>
        <v>#REF!</v>
      </c>
      <c r="AL7" s="37" t="str">
        <f>IF(AL$15="X",$A7,#REF! * (100 - $A7) / (100 - WeightOriginal))</f>
        <v>#REF!</v>
      </c>
      <c r="AM7" s="37" t="str">
        <f>IF(AM$15="X",$A7,#REF! * (100 - $A7) / (100 - WeightOriginal))</f>
        <v>#REF!</v>
      </c>
      <c r="AN7" s="37" t="str">
        <f>IF(AN$15="X",$A7,#REF! * (100 - $A7) / (100 - WeightOriginal))</f>
        <v>#REF!</v>
      </c>
      <c r="AO7" s="37" t="str">
        <f>IF(AO$15="X",$A7,#REF! * (100 - $A7) / (100 - WeightOriginal))</f>
        <v>#REF!</v>
      </c>
      <c r="AP7" s="37" t="str">
        <f>IF(AP$15="X",$A7,#REF! * (100 - $A7) / (100 - WeightOriginal))</f>
        <v>#REF!</v>
      </c>
      <c r="AQ7" s="37" t="str">
        <f>IF(AQ$15="X",$A7,#REF! * (100 - $A7) / (100 - WeightOriginal))</f>
        <v>#REF!</v>
      </c>
      <c r="AR7" s="37" t="str">
        <f>IF(AR$15="X",$A7,#REF! * (100 - $A7) / (100 - WeightOriginal))</f>
        <v>#REF!</v>
      </c>
      <c r="AS7" s="37" t="str">
        <f>IF(AS$15="X",$A7,#REF! * (100 - $A7) / (100 - WeightOriginal))</f>
        <v>#REF!</v>
      </c>
      <c r="AT7" s="37" t="str">
        <f>IF(AT$15="X",$A7,#REF! * (100 - $A7) / (100 - WeightOriginal))</f>
        <v>#REF!</v>
      </c>
      <c r="AU7" s="37" t="str">
        <f>IF(AU$15="X",$A7,#REF! * (100 - $A7) / (100 - WeightOriginal))</f>
        <v>#REF!</v>
      </c>
      <c r="AV7" s="67" t="str">
        <f t="shared" si="11"/>
        <v>#REF!</v>
      </c>
      <c r="AW7" s="61">
        <f>AB7-Evaluation!$DG$6</f>
        <v>15</v>
      </c>
      <c r="AZ7" s="61">
        <f t="array" ref="AZ7">INDEX( Evaluation!DG6:DG12, 'Sensitivity Analysis'!S4 )</f>
        <v>15</v>
      </c>
    </row>
    <row r="8" ht="14.25" customHeight="1">
      <c r="A8" s="65">
        <f>A$4 + 4*(A$14-A$4)/10</f>
        <v>40</v>
      </c>
      <c r="B8" s="37" t="str">
        <f>$AB8*'Calc - Scored'!$C$3 + $AC8*'Calc - Scored'!$D$3 + $AD8*'Calc - Scored'!$E$3 + $AE8*'Calc - Scored'!$F$3 + $AF8*'Calc - Scored'!$G$3 + $AG8*'Calc - Scored'!$H$3 + $AH8*'Calc - Scored'!$I$3 + $AI8*#REF! + $AJ8*#REF! + $AK8*#REF! + $AL8*#REF! + $AM8*#REF! + $AN8*#REF! + $AO8*#REF! + $AP8*#REF! + $AQ8*#REF! + $AR8*#REF! + $AS8*#REF! + $AT8*#REF! + $AU8*#REF!</f>
        <v>#REF!</v>
      </c>
      <c r="C8" s="37" t="str">
        <f>$AB8*'Calc - Scored'!$C$4 + $AC8*'Calc - Scored'!$D$4 + $AD8*'Calc - Scored'!$E$4 + $AE8*'Calc - Scored'!$F$4 + $AF8*'Calc - Scored'!$G$4 + $AG8*'Calc - Scored'!$H$4 + $AH8*'Calc - Scored'!$I$4 + $AI8*#REF! + $AJ8*#REF! + $AK8*#REF! + $AL8*#REF! + $AM8*#REF! + $AN8*#REF! + $AO8*#REF! + $AP8*#REF! + $AQ8*#REF! + $AR8*#REF! + $AS8*#REF! + $AT8*#REF! + $AU8*#REF!</f>
        <v>#REF!</v>
      </c>
      <c r="D8" s="37" t="str">
        <f>$AB8*'Calc - Scored'!$C$5 + $AC8*'Calc - Scored'!$D$5 + $AD8*'Calc - Scored'!$E$5 + $AE8*'Calc - Scored'!$F$5 + $AF8*'Calc - Scored'!$G$5 + $AG8*'Calc - Scored'!$H$5 + $AH8*'Calc - Scored'!$I$5 + $AI8*#REF! + $AJ8*#REF! + $AK8*#REF! + $AL8*#REF! + $AM8*#REF! + $AN8*#REF! + $AO8*#REF! + $AP8*#REF! + $AQ8*#REF! + $AR8*#REF! + $AS8*#REF! + $AT8*#REF! + $AU8*#REF!</f>
        <v>#REF!</v>
      </c>
      <c r="E8" s="37" t="str">
        <f t="shared" si="7"/>
        <v>#REF!</v>
      </c>
      <c r="F8" s="37" t="str">
        <f>$AB8*'Calc - Scored'!$C$6 + $AC8*'Calc - Scored'!$D$6 + $AD8*'Calc - Scored'!$E$6 + $AE8*'Calc - Scored'!$F$6 + $AF8*'Calc - Scored'!$G$6 + $AG8*'Calc - Scored'!$H$6 + $AH8*'Calc - Scored'!$I$6 + $AI8*#REF! + $AJ8*#REF! + $AK8*#REF! + $AL8*#REF! + $AM8*#REF! + $AN8*#REF! + $AO8*#REF! + $AP8*#REF! + $AQ8*#REF! + $AR8*#REF! + $AS8*#REF! + $AT8*#REF! + $AU8*#REF!</f>
        <v>#REF!</v>
      </c>
      <c r="G8" s="37" t="str">
        <f t="shared" ref="G8:I8" si="16">$AB8*#REF! + $AC8*#REF! + $AD8*#REF! + $AE8*#REF! + $AF8*#REF! + $AG8*#REF! + $AH8*#REF! + $AI8*#REF! + $AJ8*#REF! + $AK8*#REF! + $AL8*#REF! + $AM8*#REF! + $AN8*#REF! + $AO8*#REF! + $AP8*#REF! + $AQ8*#REF! + $AR8*#REF! + $AS8*#REF! + $AT8*#REF! + $AU8*#REF!</f>
        <v>#REF!</v>
      </c>
      <c r="H8" s="37" t="str">
        <f t="shared" si="16"/>
        <v>#REF!</v>
      </c>
      <c r="I8" s="37" t="str">
        <f t="shared" si="16"/>
        <v>#REF!</v>
      </c>
      <c r="J8" s="37" t="str">
        <f>$AB8*'Calc - Scored'!$C$7 + $AC8*'Calc - Scored'!$D$7 + $AD8*'Calc - Scored'!$E$7 + $AE8*'Calc - Scored'!$F$7 + $AF8*'Calc - Scored'!$G$7 + $AG8*'Calc - Scored'!$H$7 + $AH8*'Calc - Scored'!$I$7 + $AI8*#REF! + $AJ8*#REF! + $AK8*#REF! + $AL8*#REF! + $AM8*#REF! + $AN8*#REF! + $AO8*#REF! + $AP8*#REF! + $AQ8*#REF! + $AR8*#REF! + $AS8*#REF! + $AT8*#REF! + $AU8*#REF!</f>
        <v>#REF!</v>
      </c>
      <c r="K8" s="37" t="str">
        <f>$AB8*'Calc - Scored'!$C$8 + $AC8*'Calc - Scored'!$D$8 + $AD8*'Calc - Scored'!$E$8 + $AE8*'Calc - Scored'!$F$8 + $AF8*'Calc - Scored'!$G$8 + $AG8*'Calc - Scored'!$H$8 + $AH8*'Calc - Scored'!$I$8 + $AI8*#REF! + $AJ8*#REF! + $AK8*#REF! + $AL8*#REF! + $AM8*#REF! + $AN8*#REF! + $AO8*#REF! + $AP8*#REF! + $AQ8*#REF! + $AR8*#REF! + $AS8*#REF! + $AT8*#REF! + $AU8*#REF!</f>
        <v>#REF!</v>
      </c>
      <c r="L8" s="37" t="str">
        <f t="shared" si="9"/>
        <v>#REF!</v>
      </c>
      <c r="M8" s="37" t="str">
        <f t="shared" ref="M8:Z8" si="17">$AB8*#REF! + $AC8*#REF! + $AD8*#REF! + $AE8*#REF! + $AF8*#REF! + $AG8*#REF! + $AH8*#REF! + $AI8*#REF! + $AJ8*#REF! + $AK8*#REF! + $AL8*#REF! + $AM8*#REF! + $AN8*#REF! + $AO8*#REF! + $AP8*#REF! + $AQ8*#REF! + $AR8*#REF! + $AS8*#REF! + $AT8*#REF! + $AU8*#REF!</f>
        <v>#REF!</v>
      </c>
      <c r="N8" s="37" t="str">
        <f t="shared" si="17"/>
        <v>#REF!</v>
      </c>
      <c r="O8" s="37" t="str">
        <f t="shared" si="17"/>
        <v>#REF!</v>
      </c>
      <c r="P8" s="37" t="str">
        <f t="shared" si="17"/>
        <v>#REF!</v>
      </c>
      <c r="Q8" s="37" t="str">
        <f t="shared" si="17"/>
        <v>#REF!</v>
      </c>
      <c r="R8" s="37" t="str">
        <f t="shared" si="17"/>
        <v>#REF!</v>
      </c>
      <c r="S8" s="37" t="str">
        <f t="shared" si="17"/>
        <v>#REF!</v>
      </c>
      <c r="T8" s="37" t="str">
        <f t="shared" si="17"/>
        <v>#REF!</v>
      </c>
      <c r="U8" s="37" t="str">
        <f t="shared" si="17"/>
        <v>#REF!</v>
      </c>
      <c r="V8" s="37" t="str">
        <f t="shared" si="17"/>
        <v>#REF!</v>
      </c>
      <c r="W8" s="37" t="str">
        <f t="shared" si="17"/>
        <v>#REF!</v>
      </c>
      <c r="X8" s="37" t="str">
        <f t="shared" si="17"/>
        <v>#REF!</v>
      </c>
      <c r="Y8" s="37" t="str">
        <f t="shared" si="17"/>
        <v>#REF!</v>
      </c>
      <c r="Z8" s="37" t="str">
        <f t="shared" si="17"/>
        <v>#REF!</v>
      </c>
      <c r="AB8" s="66">
        <f>IF(AB$15="X",$A8, Evaluation!$DG$6 * (100 - $A8) / (100 - WeightOriginal))</f>
        <v>40</v>
      </c>
      <c r="AC8" s="37">
        <f>IF(AC$15="X",$A8,Evaluation!$DG$7 * (100 - $A8) / (100 - WeightOriginal))</f>
        <v>7.058823529</v>
      </c>
      <c r="AD8" s="37">
        <f>IF(AD$15="X",$A8,Evaluation!$DG$8 * (100 - $A8) / (100 - WeightOriginal))</f>
        <v>10.58823529</v>
      </c>
      <c r="AE8" s="37">
        <f>IF(AE$15="X",$A8,Evaluation!$DG$9 * (100 - $A8) / (100 - WeightOriginal))</f>
        <v>7.058823529</v>
      </c>
      <c r="AF8" s="37">
        <f>IF(AF$15="X",$A8,Evaluation!$DG$10 * (100 - $A8) / (100 - WeightOriginal))</f>
        <v>7.058823529</v>
      </c>
      <c r="AG8" s="37">
        <f>IF(AG$15="X",$A8,Evaluation!$DG$11 * (100 - $A8) / (100 - WeightOriginal))</f>
        <v>14.11764706</v>
      </c>
      <c r="AH8" s="37">
        <f>IF(AH$15="X",$A8,Evaluation!$DG$12 * (100 - $A8) / (100 - WeightOriginal))</f>
        <v>14.11764706</v>
      </c>
      <c r="AI8" s="37" t="str">
        <f>IF(AI$15="X",$A8,#REF! * (100 - $A8) / (100 - WeightOriginal))</f>
        <v>#REF!</v>
      </c>
      <c r="AJ8" s="37" t="str">
        <f>IF(AJ$15="X",$A8,#REF! * (100 - $A8) / (100 - WeightOriginal))</f>
        <v>#REF!</v>
      </c>
      <c r="AK8" s="37" t="str">
        <f>IF(AK$15="X",$A8,#REF! * (100 - $A8) / (100 - WeightOriginal))</f>
        <v>#REF!</v>
      </c>
      <c r="AL8" s="37" t="str">
        <f>IF(AL$15="X",$A8,#REF! * (100 - $A8) / (100 - WeightOriginal))</f>
        <v>#REF!</v>
      </c>
      <c r="AM8" s="37" t="str">
        <f>IF(AM$15="X",$A8,#REF! * (100 - $A8) / (100 - WeightOriginal))</f>
        <v>#REF!</v>
      </c>
      <c r="AN8" s="37" t="str">
        <f>IF(AN$15="X",$A8,#REF! * (100 - $A8) / (100 - WeightOriginal))</f>
        <v>#REF!</v>
      </c>
      <c r="AO8" s="37" t="str">
        <f>IF(AO$15="X",$A8,#REF! * (100 - $A8) / (100 - WeightOriginal))</f>
        <v>#REF!</v>
      </c>
      <c r="AP8" s="37" t="str">
        <f>IF(AP$15="X",$A8,#REF! * (100 - $A8) / (100 - WeightOriginal))</f>
        <v>#REF!</v>
      </c>
      <c r="AQ8" s="37" t="str">
        <f>IF(AQ$15="X",$A8,#REF! * (100 - $A8) / (100 - WeightOriginal))</f>
        <v>#REF!</v>
      </c>
      <c r="AR8" s="37" t="str">
        <f>IF(AR$15="X",$A8,#REF! * (100 - $A8) / (100 - WeightOriginal))</f>
        <v>#REF!</v>
      </c>
      <c r="AS8" s="37" t="str">
        <f>IF(AS$15="X",$A8,#REF! * (100 - $A8) / (100 - WeightOriginal))</f>
        <v>#REF!</v>
      </c>
      <c r="AT8" s="37" t="str">
        <f>IF(AT$15="X",$A8,#REF! * (100 - $A8) / (100 - WeightOriginal))</f>
        <v>#REF!</v>
      </c>
      <c r="AU8" s="37" t="str">
        <f>IF(AU$15="X",$A8,#REF! * (100 - $A8) / (100 - WeightOriginal))</f>
        <v>#REF!</v>
      </c>
      <c r="AV8" s="67" t="str">
        <f t="shared" si="11"/>
        <v>#REF!</v>
      </c>
      <c r="AW8" s="61">
        <f>AB8-Evaluation!$DG$6</f>
        <v>25</v>
      </c>
    </row>
    <row r="9" ht="14.25" customHeight="1">
      <c r="A9" s="65">
        <f>A$4 + 5*(A$14-A$4)/10</f>
        <v>50</v>
      </c>
      <c r="B9" s="37" t="str">
        <f>$AB9*'Calc - Scored'!$C$3 + $AC9*'Calc - Scored'!$D$3 + $AD9*'Calc - Scored'!$E$3 + $AE9*'Calc - Scored'!$F$3 + $AF9*'Calc - Scored'!$G$3 + $AG9*'Calc - Scored'!$H$3 + $AH9*'Calc - Scored'!$I$3 + $AI9*#REF! + $AJ9*#REF! + $AK9*#REF! + $AL9*#REF! + $AM9*#REF! + $AN9*#REF! + $AO9*#REF! + $AP9*#REF! + $AQ9*#REF! + $AR9*#REF! + $AS9*#REF! + $AT9*#REF! + $AU9*#REF!</f>
        <v>#REF!</v>
      </c>
      <c r="C9" s="37" t="str">
        <f>$AB9*'Calc - Scored'!$C$4 + $AC9*'Calc - Scored'!$D$4 + $AD9*'Calc - Scored'!$E$4 + $AE9*'Calc - Scored'!$F$4 + $AF9*'Calc - Scored'!$G$4 + $AG9*'Calc - Scored'!$H$4 + $AH9*'Calc - Scored'!$I$4 + $AI9*#REF! + $AJ9*#REF! + $AK9*#REF! + $AL9*#REF! + $AM9*#REF! + $AN9*#REF! + $AO9*#REF! + $AP9*#REF! + $AQ9*#REF! + $AR9*#REF! + $AS9*#REF! + $AT9*#REF! + $AU9*#REF!</f>
        <v>#REF!</v>
      </c>
      <c r="D9" s="37" t="str">
        <f>$AB9*'Calc - Scored'!$C$5 + $AC9*'Calc - Scored'!$D$5 + $AD9*'Calc - Scored'!$E$5 + $AE9*'Calc - Scored'!$F$5 + $AF9*'Calc - Scored'!$G$5 + $AG9*'Calc - Scored'!$H$5 + $AH9*'Calc - Scored'!$I$5 + $AI9*#REF! + $AJ9*#REF! + $AK9*#REF! + $AL9*#REF! + $AM9*#REF! + $AN9*#REF! + $AO9*#REF! + $AP9*#REF! + $AQ9*#REF! + $AR9*#REF! + $AS9*#REF! + $AT9*#REF! + $AU9*#REF!</f>
        <v>#REF!</v>
      </c>
      <c r="E9" s="37" t="str">
        <f t="shared" si="7"/>
        <v>#REF!</v>
      </c>
      <c r="F9" s="37" t="str">
        <f>$AB9*'Calc - Scored'!$C$6 + $AC9*'Calc - Scored'!$D$6 + $AD9*'Calc - Scored'!$E$6 + $AE9*'Calc - Scored'!$F$6 + $AF9*'Calc - Scored'!$G$6 + $AG9*'Calc - Scored'!$H$6 + $AH9*'Calc - Scored'!$I$6 + $AI9*#REF! + $AJ9*#REF! + $AK9*#REF! + $AL9*#REF! + $AM9*#REF! + $AN9*#REF! + $AO9*#REF! + $AP9*#REF! + $AQ9*#REF! + $AR9*#REF! + $AS9*#REF! + $AT9*#REF! + $AU9*#REF!</f>
        <v>#REF!</v>
      </c>
      <c r="G9" s="37" t="str">
        <f t="shared" ref="G9:I9" si="18">$AB9*#REF! + $AC9*#REF! + $AD9*#REF! + $AE9*#REF! + $AF9*#REF! + $AG9*#REF! + $AH9*#REF! + $AI9*#REF! + $AJ9*#REF! + $AK9*#REF! + $AL9*#REF! + $AM9*#REF! + $AN9*#REF! + $AO9*#REF! + $AP9*#REF! + $AQ9*#REF! + $AR9*#REF! + $AS9*#REF! + $AT9*#REF! + $AU9*#REF!</f>
        <v>#REF!</v>
      </c>
      <c r="H9" s="37" t="str">
        <f t="shared" si="18"/>
        <v>#REF!</v>
      </c>
      <c r="I9" s="37" t="str">
        <f t="shared" si="18"/>
        <v>#REF!</v>
      </c>
      <c r="J9" s="37" t="str">
        <f>$AB9*'Calc - Scored'!$C$7 + $AC9*'Calc - Scored'!$D$7 + $AD9*'Calc - Scored'!$E$7 + $AE9*'Calc - Scored'!$F$7 + $AF9*'Calc - Scored'!$G$7 + $AG9*'Calc - Scored'!$H$7 + $AH9*'Calc - Scored'!$I$7 + $AI9*#REF! + $AJ9*#REF! + $AK9*#REF! + $AL9*#REF! + $AM9*#REF! + $AN9*#REF! + $AO9*#REF! + $AP9*#REF! + $AQ9*#REF! + $AR9*#REF! + $AS9*#REF! + $AT9*#REF! + $AU9*#REF!</f>
        <v>#REF!</v>
      </c>
      <c r="K9" s="37" t="str">
        <f>$AB9*'Calc - Scored'!$C$8 + $AC9*'Calc - Scored'!$D$8 + $AD9*'Calc - Scored'!$E$8 + $AE9*'Calc - Scored'!$F$8 + $AF9*'Calc - Scored'!$G$8 + $AG9*'Calc - Scored'!$H$8 + $AH9*'Calc - Scored'!$I$8 + $AI9*#REF! + $AJ9*#REF! + $AK9*#REF! + $AL9*#REF! + $AM9*#REF! + $AN9*#REF! + $AO9*#REF! + $AP9*#REF! + $AQ9*#REF! + $AR9*#REF! + $AS9*#REF! + $AT9*#REF! + $AU9*#REF!</f>
        <v>#REF!</v>
      </c>
      <c r="L9" s="37" t="str">
        <f t="shared" si="9"/>
        <v>#REF!</v>
      </c>
      <c r="M9" s="37" t="str">
        <f t="shared" ref="M9:Z9" si="19">$AB9*#REF! + $AC9*#REF! + $AD9*#REF! + $AE9*#REF! + $AF9*#REF! + $AG9*#REF! + $AH9*#REF! + $AI9*#REF! + $AJ9*#REF! + $AK9*#REF! + $AL9*#REF! + $AM9*#REF! + $AN9*#REF! + $AO9*#REF! + $AP9*#REF! + $AQ9*#REF! + $AR9*#REF! + $AS9*#REF! + $AT9*#REF! + $AU9*#REF!</f>
        <v>#REF!</v>
      </c>
      <c r="N9" s="37" t="str">
        <f t="shared" si="19"/>
        <v>#REF!</v>
      </c>
      <c r="O9" s="37" t="str">
        <f t="shared" si="19"/>
        <v>#REF!</v>
      </c>
      <c r="P9" s="37" t="str">
        <f t="shared" si="19"/>
        <v>#REF!</v>
      </c>
      <c r="Q9" s="37" t="str">
        <f t="shared" si="19"/>
        <v>#REF!</v>
      </c>
      <c r="R9" s="37" t="str">
        <f t="shared" si="19"/>
        <v>#REF!</v>
      </c>
      <c r="S9" s="37" t="str">
        <f t="shared" si="19"/>
        <v>#REF!</v>
      </c>
      <c r="T9" s="37" t="str">
        <f t="shared" si="19"/>
        <v>#REF!</v>
      </c>
      <c r="U9" s="37" t="str">
        <f t="shared" si="19"/>
        <v>#REF!</v>
      </c>
      <c r="V9" s="37" t="str">
        <f t="shared" si="19"/>
        <v>#REF!</v>
      </c>
      <c r="W9" s="37" t="str">
        <f t="shared" si="19"/>
        <v>#REF!</v>
      </c>
      <c r="X9" s="37" t="str">
        <f t="shared" si="19"/>
        <v>#REF!</v>
      </c>
      <c r="Y9" s="37" t="str">
        <f t="shared" si="19"/>
        <v>#REF!</v>
      </c>
      <c r="Z9" s="37" t="str">
        <f t="shared" si="19"/>
        <v>#REF!</v>
      </c>
      <c r="AB9" s="66">
        <f>IF(AB$15="X",$A9, Evaluation!$DG$6 * (100 - $A9) / (100 - WeightOriginal))</f>
        <v>50</v>
      </c>
      <c r="AC9" s="37">
        <f>IF(AC$15="X",$A9,Evaluation!$DG$7 * (100 - $A9) / (100 - WeightOriginal))</f>
        <v>5.882352941</v>
      </c>
      <c r="AD9" s="37">
        <f>IF(AD$15="X",$A9,Evaluation!$DG$8 * (100 - $A9) / (100 - WeightOriginal))</f>
        <v>8.823529412</v>
      </c>
      <c r="AE9" s="37">
        <f>IF(AE$15="X",$A9,Evaluation!$DG$9 * (100 - $A9) / (100 - WeightOriginal))</f>
        <v>5.882352941</v>
      </c>
      <c r="AF9" s="37">
        <f>IF(AF$15="X",$A9,Evaluation!$DG$10 * (100 - $A9) / (100 - WeightOriginal))</f>
        <v>5.882352941</v>
      </c>
      <c r="AG9" s="37">
        <f>IF(AG$15="X",$A9,Evaluation!$DG$11 * (100 - $A9) / (100 - WeightOriginal))</f>
        <v>11.76470588</v>
      </c>
      <c r="AH9" s="37">
        <f>IF(AH$15="X",$A9,Evaluation!$DG$12 * (100 - $A9) / (100 - WeightOriginal))</f>
        <v>11.76470588</v>
      </c>
      <c r="AI9" s="37" t="str">
        <f>IF(AI$15="X",$A9,#REF! * (100 - $A9) / (100 - WeightOriginal))</f>
        <v>#REF!</v>
      </c>
      <c r="AJ9" s="37" t="str">
        <f>IF(AJ$15="X",$A9,#REF! * (100 - $A9) / (100 - WeightOriginal))</f>
        <v>#REF!</v>
      </c>
      <c r="AK9" s="37" t="str">
        <f>IF(AK$15="X",$A9,#REF! * (100 - $A9) / (100 - WeightOriginal))</f>
        <v>#REF!</v>
      </c>
      <c r="AL9" s="37" t="str">
        <f>IF(AL$15="X",$A9,#REF! * (100 - $A9) / (100 - WeightOriginal))</f>
        <v>#REF!</v>
      </c>
      <c r="AM9" s="37" t="str">
        <f>IF(AM$15="X",$A9,#REF! * (100 - $A9) / (100 - WeightOriginal))</f>
        <v>#REF!</v>
      </c>
      <c r="AN9" s="37" t="str">
        <f>IF(AN$15="X",$A9,#REF! * (100 - $A9) / (100 - WeightOriginal))</f>
        <v>#REF!</v>
      </c>
      <c r="AO9" s="37" t="str">
        <f>IF(AO$15="X",$A9,#REF! * (100 - $A9) / (100 - WeightOriginal))</f>
        <v>#REF!</v>
      </c>
      <c r="AP9" s="37" t="str">
        <f>IF(AP$15="X",$A9,#REF! * (100 - $A9) / (100 - WeightOriginal))</f>
        <v>#REF!</v>
      </c>
      <c r="AQ9" s="37" t="str">
        <f>IF(AQ$15="X",$A9,#REF! * (100 - $A9) / (100 - WeightOriginal))</f>
        <v>#REF!</v>
      </c>
      <c r="AR9" s="37" t="str">
        <f>IF(AR$15="X",$A9,#REF! * (100 - $A9) / (100 - WeightOriginal))</f>
        <v>#REF!</v>
      </c>
      <c r="AS9" s="37" t="str">
        <f>IF(AS$15="X",$A9,#REF! * (100 - $A9) / (100 - WeightOriginal))</f>
        <v>#REF!</v>
      </c>
      <c r="AT9" s="37" t="str">
        <f>IF(AT$15="X",$A9,#REF! * (100 - $A9) / (100 - WeightOriginal))</f>
        <v>#REF!</v>
      </c>
      <c r="AU9" s="37" t="str">
        <f>IF(AU$15="X",$A9,#REF! * (100 - $A9) / (100 - WeightOriginal))</f>
        <v>#REF!</v>
      </c>
      <c r="AV9" s="67" t="str">
        <f t="shared" si="11"/>
        <v>#REF!</v>
      </c>
      <c r="AW9" s="61">
        <f>AB9-Evaluation!$DG$6</f>
        <v>35</v>
      </c>
    </row>
    <row r="10" ht="14.25" customHeight="1">
      <c r="A10" s="65">
        <f>A$4 + 6*(A$14-A$4)/10</f>
        <v>60</v>
      </c>
      <c r="B10" s="37" t="str">
        <f>$AB10*'Calc - Scored'!$C$3 + $AC10*'Calc - Scored'!$D$3 + $AD10*'Calc - Scored'!$E$3 + $AE10*'Calc - Scored'!$F$3 + $AF10*'Calc - Scored'!$G$3 + $AG10*'Calc - Scored'!$H$3 + $AH10*'Calc - Scored'!$I$3 + $AI10*#REF! + $AJ10*#REF! + $AK10*#REF! + $AL10*#REF! + $AM10*#REF! + $AN10*#REF! + $AO10*#REF! + $AP10*#REF! + $AQ10*#REF! + $AR10*#REF! + $AS10*#REF! + $AT10*#REF! + $AU10*#REF!</f>
        <v>#REF!</v>
      </c>
      <c r="C10" s="37" t="str">
        <f>$AB10*'Calc - Scored'!$C$4 + $AC10*'Calc - Scored'!$D$4 + $AD10*'Calc - Scored'!$E$4 + $AE10*'Calc - Scored'!$F$4 + $AF10*'Calc - Scored'!$G$4 + $AG10*'Calc - Scored'!$H$4 + $AH10*'Calc - Scored'!$I$4 + $AI10*#REF! + $AJ10*#REF! + $AK10*#REF! + $AL10*#REF! + $AM10*#REF! + $AN10*#REF! + $AO10*#REF! + $AP10*#REF! + $AQ10*#REF! + $AR10*#REF! + $AS10*#REF! + $AT10*#REF! + $AU10*#REF!</f>
        <v>#REF!</v>
      </c>
      <c r="D10" s="37" t="str">
        <f>$AB10*'Calc - Scored'!$C$5 + $AC10*'Calc - Scored'!$D$5 + $AD10*'Calc - Scored'!$E$5 + $AE10*'Calc - Scored'!$F$5 + $AF10*'Calc - Scored'!$G$5 + $AG10*'Calc - Scored'!$H$5 + $AH10*'Calc - Scored'!$I$5 + $AI10*#REF! + $AJ10*#REF! + $AK10*#REF! + $AL10*#REF! + $AM10*#REF! + $AN10*#REF! + $AO10*#REF! + $AP10*#REF! + $AQ10*#REF! + $AR10*#REF! + $AS10*#REF! + $AT10*#REF! + $AU10*#REF!</f>
        <v>#REF!</v>
      </c>
      <c r="E10" s="37" t="str">
        <f t="shared" si="7"/>
        <v>#REF!</v>
      </c>
      <c r="F10" s="37" t="str">
        <f>$AB10*'Calc - Scored'!$C$6 + $AC10*'Calc - Scored'!$D$6 + $AD10*'Calc - Scored'!$E$6 + $AE10*'Calc - Scored'!$F$6 + $AF10*'Calc - Scored'!$G$6 + $AG10*'Calc - Scored'!$H$6 + $AH10*'Calc - Scored'!$I$6 + $AI10*#REF! + $AJ10*#REF! + $AK10*#REF! + $AL10*#REF! + $AM10*#REF! + $AN10*#REF! + $AO10*#REF! + $AP10*#REF! + $AQ10*#REF! + $AR10*#REF! + $AS10*#REF! + $AT10*#REF! + $AU10*#REF!</f>
        <v>#REF!</v>
      </c>
      <c r="G10" s="37" t="str">
        <f t="shared" ref="G10:I10" si="20">$AB10*#REF! + $AC10*#REF! + $AD10*#REF! + $AE10*#REF! + $AF10*#REF! + $AG10*#REF! + $AH10*#REF! + $AI10*#REF! + $AJ10*#REF! + $AK10*#REF! + $AL10*#REF! + $AM10*#REF! + $AN10*#REF! + $AO10*#REF! + $AP10*#REF! + $AQ10*#REF! + $AR10*#REF! + $AS10*#REF! + $AT10*#REF! + $AU10*#REF!</f>
        <v>#REF!</v>
      </c>
      <c r="H10" s="37" t="str">
        <f t="shared" si="20"/>
        <v>#REF!</v>
      </c>
      <c r="I10" s="37" t="str">
        <f t="shared" si="20"/>
        <v>#REF!</v>
      </c>
      <c r="J10" s="37" t="str">
        <f>$AB10*'Calc - Scored'!$C$7 + $AC10*'Calc - Scored'!$D$7 + $AD10*'Calc - Scored'!$E$7 + $AE10*'Calc - Scored'!$F$7 + $AF10*'Calc - Scored'!$G$7 + $AG10*'Calc - Scored'!$H$7 + $AH10*'Calc - Scored'!$I$7 + $AI10*#REF! + $AJ10*#REF! + $AK10*#REF! + $AL10*#REF! + $AM10*#REF! + $AN10*#REF! + $AO10*#REF! + $AP10*#REF! + $AQ10*#REF! + $AR10*#REF! + $AS10*#REF! + $AT10*#REF! + $AU10*#REF!</f>
        <v>#REF!</v>
      </c>
      <c r="K10" s="37" t="str">
        <f>$AB10*'Calc - Scored'!$C$8 + $AC10*'Calc - Scored'!$D$8 + $AD10*'Calc - Scored'!$E$8 + $AE10*'Calc - Scored'!$F$8 + $AF10*'Calc - Scored'!$G$8 + $AG10*'Calc - Scored'!$H$8 + $AH10*'Calc - Scored'!$I$8 + $AI10*#REF! + $AJ10*#REF! + $AK10*#REF! + $AL10*#REF! + $AM10*#REF! + $AN10*#REF! + $AO10*#REF! + $AP10*#REF! + $AQ10*#REF! + $AR10*#REF! + $AS10*#REF! + $AT10*#REF! + $AU10*#REF!</f>
        <v>#REF!</v>
      </c>
      <c r="L10" s="37" t="str">
        <f t="shared" si="9"/>
        <v>#REF!</v>
      </c>
      <c r="M10" s="37" t="str">
        <f t="shared" ref="M10:Z10" si="21">$AB10*#REF! + $AC10*#REF! + $AD10*#REF! + $AE10*#REF! + $AF10*#REF! + $AG10*#REF! + $AH10*#REF! + $AI10*#REF! + $AJ10*#REF! + $AK10*#REF! + $AL10*#REF! + $AM10*#REF! + $AN10*#REF! + $AO10*#REF! + $AP10*#REF! + $AQ10*#REF! + $AR10*#REF! + $AS10*#REF! + $AT10*#REF! + $AU10*#REF!</f>
        <v>#REF!</v>
      </c>
      <c r="N10" s="37" t="str">
        <f t="shared" si="21"/>
        <v>#REF!</v>
      </c>
      <c r="O10" s="37" t="str">
        <f t="shared" si="21"/>
        <v>#REF!</v>
      </c>
      <c r="P10" s="37" t="str">
        <f t="shared" si="21"/>
        <v>#REF!</v>
      </c>
      <c r="Q10" s="37" t="str">
        <f t="shared" si="21"/>
        <v>#REF!</v>
      </c>
      <c r="R10" s="37" t="str">
        <f t="shared" si="21"/>
        <v>#REF!</v>
      </c>
      <c r="S10" s="37" t="str">
        <f t="shared" si="21"/>
        <v>#REF!</v>
      </c>
      <c r="T10" s="37" t="str">
        <f t="shared" si="21"/>
        <v>#REF!</v>
      </c>
      <c r="U10" s="37" t="str">
        <f t="shared" si="21"/>
        <v>#REF!</v>
      </c>
      <c r="V10" s="37" t="str">
        <f t="shared" si="21"/>
        <v>#REF!</v>
      </c>
      <c r="W10" s="37" t="str">
        <f t="shared" si="21"/>
        <v>#REF!</v>
      </c>
      <c r="X10" s="37" t="str">
        <f t="shared" si="21"/>
        <v>#REF!</v>
      </c>
      <c r="Y10" s="37" t="str">
        <f t="shared" si="21"/>
        <v>#REF!</v>
      </c>
      <c r="Z10" s="37" t="str">
        <f t="shared" si="21"/>
        <v>#REF!</v>
      </c>
      <c r="AB10" s="66">
        <f>IF(AB$15="X",$A10, Evaluation!$DG$6 * (100 - $A10) / (100 - WeightOriginal))</f>
        <v>60</v>
      </c>
      <c r="AC10" s="37">
        <f>IF(AC$15="X",$A10,Evaluation!$DG$7 * (100 - $A10) / (100 - WeightOriginal))</f>
        <v>4.705882353</v>
      </c>
      <c r="AD10" s="37">
        <f>IF(AD$15="X",$A10,Evaluation!$DG$8 * (100 - $A10) / (100 - WeightOriginal))</f>
        <v>7.058823529</v>
      </c>
      <c r="AE10" s="37">
        <f>IF(AE$15="X",$A10,Evaluation!$DG$9 * (100 - $A10) / (100 - WeightOriginal))</f>
        <v>4.705882353</v>
      </c>
      <c r="AF10" s="37">
        <f>IF(AF$15="X",$A10,Evaluation!$DG$10 * (100 - $A10) / (100 - WeightOriginal))</f>
        <v>4.705882353</v>
      </c>
      <c r="AG10" s="37">
        <f>IF(AG$15="X",$A10,Evaluation!$DG$11 * (100 - $A10) / (100 - WeightOriginal))</f>
        <v>9.411764706</v>
      </c>
      <c r="AH10" s="37">
        <f>IF(AH$15="X",$A10,Evaluation!$DG$12 * (100 - $A10) / (100 - WeightOriginal))</f>
        <v>9.411764706</v>
      </c>
      <c r="AI10" s="37" t="str">
        <f>IF(AI$15="X",$A10,#REF! * (100 - $A10) / (100 - WeightOriginal))</f>
        <v>#REF!</v>
      </c>
      <c r="AJ10" s="37" t="str">
        <f>IF(AJ$15="X",$A10,#REF! * (100 - $A10) / (100 - WeightOriginal))</f>
        <v>#REF!</v>
      </c>
      <c r="AK10" s="37" t="str">
        <f>IF(AK$15="X",$A10,#REF! * (100 - $A10) / (100 - WeightOriginal))</f>
        <v>#REF!</v>
      </c>
      <c r="AL10" s="37" t="str">
        <f>IF(AL$15="X",$A10,#REF! * (100 - $A10) / (100 - WeightOriginal))</f>
        <v>#REF!</v>
      </c>
      <c r="AM10" s="37" t="str">
        <f>IF(AM$15="X",$A10,#REF! * (100 - $A10) / (100 - WeightOriginal))</f>
        <v>#REF!</v>
      </c>
      <c r="AN10" s="37" t="str">
        <f>IF(AN$15="X",$A10,#REF! * (100 - $A10) / (100 - WeightOriginal))</f>
        <v>#REF!</v>
      </c>
      <c r="AO10" s="37" t="str">
        <f>IF(AO$15="X",$A10,#REF! * (100 - $A10) / (100 - WeightOriginal))</f>
        <v>#REF!</v>
      </c>
      <c r="AP10" s="37" t="str">
        <f>IF(AP$15="X",$A10,#REF! * (100 - $A10) / (100 - WeightOriginal))</f>
        <v>#REF!</v>
      </c>
      <c r="AQ10" s="37" t="str">
        <f>IF(AQ$15="X",$A10,#REF! * (100 - $A10) / (100 - WeightOriginal))</f>
        <v>#REF!</v>
      </c>
      <c r="AR10" s="37" t="str">
        <f>IF(AR$15="X",$A10,#REF! * (100 - $A10) / (100 - WeightOriginal))</f>
        <v>#REF!</v>
      </c>
      <c r="AS10" s="37" t="str">
        <f>IF(AS$15="X",$A10,#REF! * (100 - $A10) / (100 - WeightOriginal))</f>
        <v>#REF!</v>
      </c>
      <c r="AT10" s="37" t="str">
        <f>IF(AT$15="X",$A10,#REF! * (100 - $A10) / (100 - WeightOriginal))</f>
        <v>#REF!</v>
      </c>
      <c r="AU10" s="37" t="str">
        <f>IF(AU$15="X",$A10,#REF! * (100 - $A10) / (100 - WeightOriginal))</f>
        <v>#REF!</v>
      </c>
      <c r="AV10" s="67" t="str">
        <f t="shared" si="11"/>
        <v>#REF!</v>
      </c>
      <c r="AW10" s="61">
        <f>AB10-Evaluation!$DG$6</f>
        <v>45</v>
      </c>
    </row>
    <row r="11" ht="14.25" customHeight="1">
      <c r="A11" s="65">
        <f>A$4 + 7*(A$14-A$4)/10</f>
        <v>70</v>
      </c>
      <c r="B11" s="37" t="str">
        <f>$AB11*'Calc - Scored'!$C$3 + $AC11*'Calc - Scored'!$D$3 + $AD11*'Calc - Scored'!$E$3 + $AE11*'Calc - Scored'!$F$3 + $AF11*'Calc - Scored'!$G$3 + $AG11*'Calc - Scored'!$H$3 + $AH11*'Calc - Scored'!$I$3 + $AI11*#REF! + $AJ11*#REF! + $AK11*#REF! + $AL11*#REF! + $AM11*#REF! + $AN11*#REF! + $AO11*#REF! + $AP11*#REF! + $AQ11*#REF! + $AR11*#REF! + $AS11*#REF! + $AT11*#REF! + $AU11*#REF!</f>
        <v>#REF!</v>
      </c>
      <c r="C11" s="37" t="str">
        <f>$AB11*'Calc - Scored'!$C$4 + $AC11*'Calc - Scored'!$D$4 + $AD11*'Calc - Scored'!$E$4 + $AE11*'Calc - Scored'!$F$4 + $AF11*'Calc - Scored'!$G$4 + $AG11*'Calc - Scored'!$H$4 + $AH11*'Calc - Scored'!$I$4 + $AI11*#REF! + $AJ11*#REF! + $AK11*#REF! + $AL11*#REF! + $AM11*#REF! + $AN11*#REF! + $AO11*#REF! + $AP11*#REF! + $AQ11*#REF! + $AR11*#REF! + $AS11*#REF! + $AT11*#REF! + $AU11*#REF!</f>
        <v>#REF!</v>
      </c>
      <c r="D11" s="37" t="str">
        <f>$AB11*'Calc - Scored'!$C$5 + $AC11*'Calc - Scored'!$D$5 + $AD11*'Calc - Scored'!$E$5 + $AE11*'Calc - Scored'!$F$5 + $AF11*'Calc - Scored'!$G$5 + $AG11*'Calc - Scored'!$H$5 + $AH11*'Calc - Scored'!$I$5 + $AI11*#REF! + $AJ11*#REF! + $AK11*#REF! + $AL11*#REF! + $AM11*#REF! + $AN11*#REF! + $AO11*#REF! + $AP11*#REF! + $AQ11*#REF! + $AR11*#REF! + $AS11*#REF! + $AT11*#REF! + $AU11*#REF!</f>
        <v>#REF!</v>
      </c>
      <c r="E11" s="37" t="str">
        <f t="shared" si="7"/>
        <v>#REF!</v>
      </c>
      <c r="F11" s="37" t="str">
        <f>$AB11*'Calc - Scored'!$C$6 + $AC11*'Calc - Scored'!$D$6 + $AD11*'Calc - Scored'!$E$6 + $AE11*'Calc - Scored'!$F$6 + $AF11*'Calc - Scored'!$G$6 + $AG11*'Calc - Scored'!$H$6 + $AH11*'Calc - Scored'!$I$6 + $AI11*#REF! + $AJ11*#REF! + $AK11*#REF! + $AL11*#REF! + $AM11*#REF! + $AN11*#REF! + $AO11*#REF! + $AP11*#REF! + $AQ11*#REF! + $AR11*#REF! + $AS11*#REF! + $AT11*#REF! + $AU11*#REF!</f>
        <v>#REF!</v>
      </c>
      <c r="G11" s="37" t="str">
        <f t="shared" ref="G11:I11" si="22">$AB11*#REF! + $AC11*#REF! + $AD11*#REF! + $AE11*#REF! + $AF11*#REF! + $AG11*#REF! + $AH11*#REF! + $AI11*#REF! + $AJ11*#REF! + $AK11*#REF! + $AL11*#REF! + $AM11*#REF! + $AN11*#REF! + $AO11*#REF! + $AP11*#REF! + $AQ11*#REF! + $AR11*#REF! + $AS11*#REF! + $AT11*#REF! + $AU11*#REF!</f>
        <v>#REF!</v>
      </c>
      <c r="H11" s="37" t="str">
        <f t="shared" si="22"/>
        <v>#REF!</v>
      </c>
      <c r="I11" s="37" t="str">
        <f t="shared" si="22"/>
        <v>#REF!</v>
      </c>
      <c r="J11" s="37" t="str">
        <f>$AB11*'Calc - Scored'!$C$7 + $AC11*'Calc - Scored'!$D$7 + $AD11*'Calc - Scored'!$E$7 + $AE11*'Calc - Scored'!$F$7 + $AF11*'Calc - Scored'!$G$7 + $AG11*'Calc - Scored'!$H$7 + $AH11*'Calc - Scored'!$I$7 + $AI11*#REF! + $AJ11*#REF! + $AK11*#REF! + $AL11*#REF! + $AM11*#REF! + $AN11*#REF! + $AO11*#REF! + $AP11*#REF! + $AQ11*#REF! + $AR11*#REF! + $AS11*#REF! + $AT11*#REF! + $AU11*#REF!</f>
        <v>#REF!</v>
      </c>
      <c r="K11" s="37" t="str">
        <f>$AB11*'Calc - Scored'!$C$8 + $AC11*'Calc - Scored'!$D$8 + $AD11*'Calc - Scored'!$E$8 + $AE11*'Calc - Scored'!$F$8 + $AF11*'Calc - Scored'!$G$8 + $AG11*'Calc - Scored'!$H$8 + $AH11*'Calc - Scored'!$I$8 + $AI11*#REF! + $AJ11*#REF! + $AK11*#REF! + $AL11*#REF! + $AM11*#REF! + $AN11*#REF! + $AO11*#REF! + $AP11*#REF! + $AQ11*#REF! + $AR11*#REF! + $AS11*#REF! + $AT11*#REF! + $AU11*#REF!</f>
        <v>#REF!</v>
      </c>
      <c r="L11" s="37" t="str">
        <f t="shared" si="9"/>
        <v>#REF!</v>
      </c>
      <c r="M11" s="37" t="str">
        <f t="shared" ref="M11:Z11" si="23">$AB11*#REF! + $AC11*#REF! + $AD11*#REF! + $AE11*#REF! + $AF11*#REF! + $AG11*#REF! + $AH11*#REF! + $AI11*#REF! + $AJ11*#REF! + $AK11*#REF! + $AL11*#REF! + $AM11*#REF! + $AN11*#REF! + $AO11*#REF! + $AP11*#REF! + $AQ11*#REF! + $AR11*#REF! + $AS11*#REF! + $AT11*#REF! + $AU11*#REF!</f>
        <v>#REF!</v>
      </c>
      <c r="N11" s="37" t="str">
        <f t="shared" si="23"/>
        <v>#REF!</v>
      </c>
      <c r="O11" s="37" t="str">
        <f t="shared" si="23"/>
        <v>#REF!</v>
      </c>
      <c r="P11" s="37" t="str">
        <f t="shared" si="23"/>
        <v>#REF!</v>
      </c>
      <c r="Q11" s="37" t="str">
        <f t="shared" si="23"/>
        <v>#REF!</v>
      </c>
      <c r="R11" s="37" t="str">
        <f t="shared" si="23"/>
        <v>#REF!</v>
      </c>
      <c r="S11" s="37" t="str">
        <f t="shared" si="23"/>
        <v>#REF!</v>
      </c>
      <c r="T11" s="37" t="str">
        <f t="shared" si="23"/>
        <v>#REF!</v>
      </c>
      <c r="U11" s="37" t="str">
        <f t="shared" si="23"/>
        <v>#REF!</v>
      </c>
      <c r="V11" s="37" t="str">
        <f t="shared" si="23"/>
        <v>#REF!</v>
      </c>
      <c r="W11" s="37" t="str">
        <f t="shared" si="23"/>
        <v>#REF!</v>
      </c>
      <c r="X11" s="37" t="str">
        <f t="shared" si="23"/>
        <v>#REF!</v>
      </c>
      <c r="Y11" s="37" t="str">
        <f t="shared" si="23"/>
        <v>#REF!</v>
      </c>
      <c r="Z11" s="37" t="str">
        <f t="shared" si="23"/>
        <v>#REF!</v>
      </c>
      <c r="AB11" s="66">
        <f>IF(AB$15="X",$A11, Evaluation!$DG$6 * (100 - $A11) / (100 - WeightOriginal))</f>
        <v>70</v>
      </c>
      <c r="AC11" s="37">
        <f>IF(AC$15="X",$A11,Evaluation!$DG$7 * (100 - $A11) / (100 - WeightOriginal))</f>
        <v>3.529411765</v>
      </c>
      <c r="AD11" s="37">
        <f>IF(AD$15="X",$A11,Evaluation!$DG$8 * (100 - $A11) / (100 - WeightOriginal))</f>
        <v>5.294117647</v>
      </c>
      <c r="AE11" s="37">
        <f>IF(AE$15="X",$A11,Evaluation!$DG$9 * (100 - $A11) / (100 - WeightOriginal))</f>
        <v>3.529411765</v>
      </c>
      <c r="AF11" s="37">
        <f>IF(AF$15="X",$A11,Evaluation!$DG$10 * (100 - $A11) / (100 - WeightOriginal))</f>
        <v>3.529411765</v>
      </c>
      <c r="AG11" s="37">
        <f>IF(AG$15="X",$A11,Evaluation!$DG$11 * (100 - $A11) / (100 - WeightOriginal))</f>
        <v>7.058823529</v>
      </c>
      <c r="AH11" s="37">
        <f>IF(AH$15="X",$A11,Evaluation!$DG$12 * (100 - $A11) / (100 - WeightOriginal))</f>
        <v>7.058823529</v>
      </c>
      <c r="AI11" s="37" t="str">
        <f>IF(AI$15="X",$A11,#REF! * (100 - $A11) / (100 - WeightOriginal))</f>
        <v>#REF!</v>
      </c>
      <c r="AJ11" s="37" t="str">
        <f>IF(AJ$15="X",$A11,#REF! * (100 - $A11) / (100 - WeightOriginal))</f>
        <v>#REF!</v>
      </c>
      <c r="AK11" s="37" t="str">
        <f>IF(AK$15="X",$A11,#REF! * (100 - $A11) / (100 - WeightOriginal))</f>
        <v>#REF!</v>
      </c>
      <c r="AL11" s="37" t="str">
        <f>IF(AL$15="X",$A11,#REF! * (100 - $A11) / (100 - WeightOriginal))</f>
        <v>#REF!</v>
      </c>
      <c r="AM11" s="37" t="str">
        <f>IF(AM$15="X",$A11,#REF! * (100 - $A11) / (100 - WeightOriginal))</f>
        <v>#REF!</v>
      </c>
      <c r="AN11" s="37" t="str">
        <f>IF(AN$15="X",$A11,#REF! * (100 - $A11) / (100 - WeightOriginal))</f>
        <v>#REF!</v>
      </c>
      <c r="AO11" s="37" t="str">
        <f>IF(AO$15="X",$A11,#REF! * (100 - $A11) / (100 - WeightOriginal))</f>
        <v>#REF!</v>
      </c>
      <c r="AP11" s="37" t="str">
        <f>IF(AP$15="X",$A11,#REF! * (100 - $A11) / (100 - WeightOriginal))</f>
        <v>#REF!</v>
      </c>
      <c r="AQ11" s="37" t="str">
        <f>IF(AQ$15="X",$A11,#REF! * (100 - $A11) / (100 - WeightOriginal))</f>
        <v>#REF!</v>
      </c>
      <c r="AR11" s="37" t="str">
        <f>IF(AR$15="X",$A11,#REF! * (100 - $A11) / (100 - WeightOriginal))</f>
        <v>#REF!</v>
      </c>
      <c r="AS11" s="37" t="str">
        <f>IF(AS$15="X",$A11,#REF! * (100 - $A11) / (100 - WeightOriginal))</f>
        <v>#REF!</v>
      </c>
      <c r="AT11" s="37" t="str">
        <f>IF(AT$15="X",$A11,#REF! * (100 - $A11) / (100 - WeightOriginal))</f>
        <v>#REF!</v>
      </c>
      <c r="AU11" s="37" t="str">
        <f>IF(AU$15="X",$A11,#REF! * (100 - $A11) / (100 - WeightOriginal))</f>
        <v>#REF!</v>
      </c>
      <c r="AV11" s="67" t="str">
        <f t="shared" si="11"/>
        <v>#REF!</v>
      </c>
      <c r="AW11" s="61">
        <f>AB11-Evaluation!$DG$6</f>
        <v>55</v>
      </c>
    </row>
    <row r="12" ht="14.25" customHeight="1">
      <c r="A12" s="65">
        <f>A$4 + 8*(A$14-A$4)/10</f>
        <v>80</v>
      </c>
      <c r="B12" s="37" t="str">
        <f>$AB12*'Calc - Scored'!$C$3 + $AC12*'Calc - Scored'!$D$3 + $AD12*'Calc - Scored'!$E$3 + $AE12*'Calc - Scored'!$F$3 + $AF12*'Calc - Scored'!$G$3 + $AG12*'Calc - Scored'!$H$3 + $AH12*'Calc - Scored'!$I$3 + $AI12*#REF! + $AJ12*#REF! + $AK12*#REF! + $AL12*#REF! + $AM12*#REF! + $AN12*#REF! + $AO12*#REF! + $AP12*#REF! + $AQ12*#REF! + $AR12*#REF! + $AS12*#REF! + $AT12*#REF! + $AU12*#REF!</f>
        <v>#REF!</v>
      </c>
      <c r="C12" s="37" t="str">
        <f>$AB12*'Calc - Scored'!$C$4 + $AC12*'Calc - Scored'!$D$4 + $AD12*'Calc - Scored'!$E$4 + $AE12*'Calc - Scored'!$F$4 + $AF12*'Calc - Scored'!$G$4 + $AG12*'Calc - Scored'!$H$4 + $AH12*'Calc - Scored'!$I$4 + $AI12*#REF! + $AJ12*#REF! + $AK12*#REF! + $AL12*#REF! + $AM12*#REF! + $AN12*#REF! + $AO12*#REF! + $AP12*#REF! + $AQ12*#REF! + $AR12*#REF! + $AS12*#REF! + $AT12*#REF! + $AU12*#REF!</f>
        <v>#REF!</v>
      </c>
      <c r="D12" s="37" t="str">
        <f>$AB12*'Calc - Scored'!$C$5 + $AC12*'Calc - Scored'!$D$5 + $AD12*'Calc - Scored'!$E$5 + $AE12*'Calc - Scored'!$F$5 + $AF12*'Calc - Scored'!$G$5 + $AG12*'Calc - Scored'!$H$5 + $AH12*'Calc - Scored'!$I$5 + $AI12*#REF! + $AJ12*#REF! + $AK12*#REF! + $AL12*#REF! + $AM12*#REF! + $AN12*#REF! + $AO12*#REF! + $AP12*#REF! + $AQ12*#REF! + $AR12*#REF! + $AS12*#REF! + $AT12*#REF! + $AU12*#REF!</f>
        <v>#REF!</v>
      </c>
      <c r="E12" s="37" t="str">
        <f t="shared" si="7"/>
        <v>#REF!</v>
      </c>
      <c r="F12" s="37" t="str">
        <f>$AB12*'Calc - Scored'!$C$6 + $AC12*'Calc - Scored'!$D$6 + $AD12*'Calc - Scored'!$E$6 + $AE12*'Calc - Scored'!$F$6 + $AF12*'Calc - Scored'!$G$6 + $AG12*'Calc - Scored'!$H$6 + $AH12*'Calc - Scored'!$I$6 + $AI12*#REF! + $AJ12*#REF! + $AK12*#REF! + $AL12*#REF! + $AM12*#REF! + $AN12*#REF! + $AO12*#REF! + $AP12*#REF! + $AQ12*#REF! + $AR12*#REF! + $AS12*#REF! + $AT12*#REF! + $AU12*#REF!</f>
        <v>#REF!</v>
      </c>
      <c r="G12" s="37" t="str">
        <f t="shared" ref="G12:I12" si="24">$AB12*#REF! + $AC12*#REF! + $AD12*#REF! + $AE12*#REF! + $AF12*#REF! + $AG12*#REF! + $AH12*#REF! + $AI12*#REF! + $AJ12*#REF! + $AK12*#REF! + $AL12*#REF! + $AM12*#REF! + $AN12*#REF! + $AO12*#REF! + $AP12*#REF! + $AQ12*#REF! + $AR12*#REF! + $AS12*#REF! + $AT12*#REF! + $AU12*#REF!</f>
        <v>#REF!</v>
      </c>
      <c r="H12" s="37" t="str">
        <f t="shared" si="24"/>
        <v>#REF!</v>
      </c>
      <c r="I12" s="37" t="str">
        <f t="shared" si="24"/>
        <v>#REF!</v>
      </c>
      <c r="J12" s="37" t="str">
        <f>$AB12*'Calc - Scored'!$C$7 + $AC12*'Calc - Scored'!$D$7 + $AD12*'Calc - Scored'!$E$7 + $AE12*'Calc - Scored'!$F$7 + $AF12*'Calc - Scored'!$G$7 + $AG12*'Calc - Scored'!$H$7 + $AH12*'Calc - Scored'!$I$7 + $AI12*#REF! + $AJ12*#REF! + $AK12*#REF! + $AL12*#REF! + $AM12*#REF! + $AN12*#REF! + $AO12*#REF! + $AP12*#REF! + $AQ12*#REF! + $AR12*#REF! + $AS12*#REF! + $AT12*#REF! + $AU12*#REF!</f>
        <v>#REF!</v>
      </c>
      <c r="K12" s="37" t="str">
        <f>$AB12*'Calc - Scored'!$C$8 + $AC12*'Calc - Scored'!$D$8 + $AD12*'Calc - Scored'!$E$8 + $AE12*'Calc - Scored'!$F$8 + $AF12*'Calc - Scored'!$G$8 + $AG12*'Calc - Scored'!$H$8 + $AH12*'Calc - Scored'!$I$8 + $AI12*#REF! + $AJ12*#REF! + $AK12*#REF! + $AL12*#REF! + $AM12*#REF! + $AN12*#REF! + $AO12*#REF! + $AP12*#REF! + $AQ12*#REF! + $AR12*#REF! + $AS12*#REF! + $AT12*#REF! + $AU12*#REF!</f>
        <v>#REF!</v>
      </c>
      <c r="L12" s="37" t="str">
        <f t="shared" si="9"/>
        <v>#REF!</v>
      </c>
      <c r="M12" s="37" t="str">
        <f t="shared" ref="M12:Z12" si="25">$AB12*#REF! + $AC12*#REF! + $AD12*#REF! + $AE12*#REF! + $AF12*#REF! + $AG12*#REF! + $AH12*#REF! + $AI12*#REF! + $AJ12*#REF! + $AK12*#REF! + $AL12*#REF! + $AM12*#REF! + $AN12*#REF! + $AO12*#REF! + $AP12*#REF! + $AQ12*#REF! + $AR12*#REF! + $AS12*#REF! + $AT12*#REF! + $AU12*#REF!</f>
        <v>#REF!</v>
      </c>
      <c r="N12" s="37" t="str">
        <f t="shared" si="25"/>
        <v>#REF!</v>
      </c>
      <c r="O12" s="37" t="str">
        <f t="shared" si="25"/>
        <v>#REF!</v>
      </c>
      <c r="P12" s="37" t="str">
        <f t="shared" si="25"/>
        <v>#REF!</v>
      </c>
      <c r="Q12" s="37" t="str">
        <f t="shared" si="25"/>
        <v>#REF!</v>
      </c>
      <c r="R12" s="37" t="str">
        <f t="shared" si="25"/>
        <v>#REF!</v>
      </c>
      <c r="S12" s="37" t="str">
        <f t="shared" si="25"/>
        <v>#REF!</v>
      </c>
      <c r="T12" s="37" t="str">
        <f t="shared" si="25"/>
        <v>#REF!</v>
      </c>
      <c r="U12" s="37" t="str">
        <f t="shared" si="25"/>
        <v>#REF!</v>
      </c>
      <c r="V12" s="37" t="str">
        <f t="shared" si="25"/>
        <v>#REF!</v>
      </c>
      <c r="W12" s="37" t="str">
        <f t="shared" si="25"/>
        <v>#REF!</v>
      </c>
      <c r="X12" s="37" t="str">
        <f t="shared" si="25"/>
        <v>#REF!</v>
      </c>
      <c r="Y12" s="37" t="str">
        <f t="shared" si="25"/>
        <v>#REF!</v>
      </c>
      <c r="Z12" s="37" t="str">
        <f t="shared" si="25"/>
        <v>#REF!</v>
      </c>
      <c r="AB12" s="66">
        <f>IF(AB$15="X",$A12, Evaluation!$DG$6 * (100 - $A12) / (100 - WeightOriginal))</f>
        <v>80</v>
      </c>
      <c r="AC12" s="37">
        <f>IF(AC$15="X",$A12,Evaluation!$DG$7 * (100 - $A12) / (100 - WeightOriginal))</f>
        <v>2.352941176</v>
      </c>
      <c r="AD12" s="37">
        <f>IF(AD$15="X",$A12,Evaluation!$DG$8 * (100 - $A12) / (100 - WeightOriginal))</f>
        <v>3.529411765</v>
      </c>
      <c r="AE12" s="37">
        <f>IF(AE$15="X",$A12,Evaluation!$DG$9 * (100 - $A12) / (100 - WeightOriginal))</f>
        <v>2.352941176</v>
      </c>
      <c r="AF12" s="37">
        <f>IF(AF$15="X",$A12,Evaluation!$DG$10 * (100 - $A12) / (100 - WeightOriginal))</f>
        <v>2.352941176</v>
      </c>
      <c r="AG12" s="37">
        <f>IF(AG$15="X",$A12,Evaluation!$DG$11 * (100 - $A12) / (100 - WeightOriginal))</f>
        <v>4.705882353</v>
      </c>
      <c r="AH12" s="37">
        <f>IF(AH$15="X",$A12,Evaluation!$DG$12 * (100 - $A12) / (100 - WeightOriginal))</f>
        <v>4.705882353</v>
      </c>
      <c r="AI12" s="37" t="str">
        <f>IF(AI$15="X",$A12,#REF! * (100 - $A12) / (100 - WeightOriginal))</f>
        <v>#REF!</v>
      </c>
      <c r="AJ12" s="37" t="str">
        <f>IF(AJ$15="X",$A12,#REF! * (100 - $A12) / (100 - WeightOriginal))</f>
        <v>#REF!</v>
      </c>
      <c r="AK12" s="37" t="str">
        <f>IF(AK$15="X",$A12,#REF! * (100 - $A12) / (100 - WeightOriginal))</f>
        <v>#REF!</v>
      </c>
      <c r="AL12" s="37" t="str">
        <f>IF(AL$15="X",$A12,#REF! * (100 - $A12) / (100 - WeightOriginal))</f>
        <v>#REF!</v>
      </c>
      <c r="AM12" s="37" t="str">
        <f>IF(AM$15="X",$A12,#REF! * (100 - $A12) / (100 - WeightOriginal))</f>
        <v>#REF!</v>
      </c>
      <c r="AN12" s="37" t="str">
        <f>IF(AN$15="X",$A12,#REF! * (100 - $A12) / (100 - WeightOriginal))</f>
        <v>#REF!</v>
      </c>
      <c r="AO12" s="37" t="str">
        <f>IF(AO$15="X",$A12,#REF! * (100 - $A12) / (100 - WeightOriginal))</f>
        <v>#REF!</v>
      </c>
      <c r="AP12" s="37" t="str">
        <f>IF(AP$15="X",$A12,#REF! * (100 - $A12) / (100 - WeightOriginal))</f>
        <v>#REF!</v>
      </c>
      <c r="AQ12" s="37" t="str">
        <f>IF(AQ$15="X",$A12,#REF! * (100 - $A12) / (100 - WeightOriginal))</f>
        <v>#REF!</v>
      </c>
      <c r="AR12" s="37" t="str">
        <f>IF(AR$15="X",$A12,#REF! * (100 - $A12) / (100 - WeightOriginal))</f>
        <v>#REF!</v>
      </c>
      <c r="AS12" s="37" t="str">
        <f>IF(AS$15="X",$A12,#REF! * (100 - $A12) / (100 - WeightOriginal))</f>
        <v>#REF!</v>
      </c>
      <c r="AT12" s="37" t="str">
        <f>IF(AT$15="X",$A12,#REF! * (100 - $A12) / (100 - WeightOriginal))</f>
        <v>#REF!</v>
      </c>
      <c r="AU12" s="37" t="str">
        <f>IF(AU$15="X",$A12,#REF! * (100 - $A12) / (100 - WeightOriginal))</f>
        <v>#REF!</v>
      </c>
      <c r="AV12" s="67" t="str">
        <f t="shared" si="11"/>
        <v>#REF!</v>
      </c>
      <c r="AW12" s="61">
        <f>AB12-Evaluation!$DG$6</f>
        <v>65</v>
      </c>
    </row>
    <row r="13" ht="14.25" customHeight="1">
      <c r="A13" s="65">
        <f>A$4 + 9*(A$14-A$4)/10</f>
        <v>90</v>
      </c>
      <c r="B13" s="37" t="str">
        <f>$AB13*'Calc - Scored'!$C$3 + $AC13*'Calc - Scored'!$D$3 + $AD13*'Calc - Scored'!$E$3 + $AE13*'Calc - Scored'!$F$3 + $AF13*'Calc - Scored'!$G$3 + $AG13*'Calc - Scored'!$H$3 + $AH13*'Calc - Scored'!$I$3 + $AI13*#REF! + $AJ13*#REF! + $AK13*#REF! + $AL13*#REF! + $AM13*#REF! + $AN13*#REF! + $AO13*#REF! + $AP13*#REF! + $AQ13*#REF! + $AR13*#REF! + $AS13*#REF! + $AT13*#REF! + $AU13*#REF!</f>
        <v>#REF!</v>
      </c>
      <c r="C13" s="37" t="str">
        <f>$AB13*'Calc - Scored'!$C$4 + $AC13*'Calc - Scored'!$D$4 + $AD13*'Calc - Scored'!$E$4 + $AE13*'Calc - Scored'!$F$4 + $AF13*'Calc - Scored'!$G$4 + $AG13*'Calc - Scored'!$H$4 + $AH13*'Calc - Scored'!$I$4 + $AI13*#REF! + $AJ13*#REF! + $AK13*#REF! + $AL13*#REF! + $AM13*#REF! + $AN13*#REF! + $AO13*#REF! + $AP13*#REF! + $AQ13*#REF! + $AR13*#REF! + $AS13*#REF! + $AT13*#REF! + $AU13*#REF!</f>
        <v>#REF!</v>
      </c>
      <c r="D13" s="37" t="str">
        <f>$AB13*'Calc - Scored'!$C$5 + $AC13*'Calc - Scored'!$D$5 + $AD13*'Calc - Scored'!$E$5 + $AE13*'Calc - Scored'!$F$5 + $AF13*'Calc - Scored'!$G$5 + $AG13*'Calc - Scored'!$H$5 + $AH13*'Calc - Scored'!$I$5 + $AI13*#REF! + $AJ13*#REF! + $AK13*#REF! + $AL13*#REF! + $AM13*#REF! + $AN13*#REF! + $AO13*#REF! + $AP13*#REF! + $AQ13*#REF! + $AR13*#REF! + $AS13*#REF! + $AT13*#REF! + $AU13*#REF!</f>
        <v>#REF!</v>
      </c>
      <c r="E13" s="37" t="str">
        <f t="shared" si="7"/>
        <v>#REF!</v>
      </c>
      <c r="F13" s="37" t="str">
        <f>$AB13*'Calc - Scored'!$C$6 + $AC13*'Calc - Scored'!$D$6 + $AD13*'Calc - Scored'!$E$6 + $AE13*'Calc - Scored'!$F$6 + $AF13*'Calc - Scored'!$G$6 + $AG13*'Calc - Scored'!$H$6 + $AH13*'Calc - Scored'!$I$6 + $AI13*#REF! + $AJ13*#REF! + $AK13*#REF! + $AL13*#REF! + $AM13*#REF! + $AN13*#REF! + $AO13*#REF! + $AP13*#REF! + $AQ13*#REF! + $AR13*#REF! + $AS13*#REF! + $AT13*#REF! + $AU13*#REF!</f>
        <v>#REF!</v>
      </c>
      <c r="G13" s="37" t="str">
        <f t="shared" ref="G13:I13" si="26">$AB13*#REF! + $AC13*#REF! + $AD13*#REF! + $AE13*#REF! + $AF13*#REF! + $AG13*#REF! + $AH13*#REF! + $AI13*#REF! + $AJ13*#REF! + $AK13*#REF! + $AL13*#REF! + $AM13*#REF! + $AN13*#REF! + $AO13*#REF! + $AP13*#REF! + $AQ13*#REF! + $AR13*#REF! + $AS13*#REF! + $AT13*#REF! + $AU13*#REF!</f>
        <v>#REF!</v>
      </c>
      <c r="H13" s="37" t="str">
        <f t="shared" si="26"/>
        <v>#REF!</v>
      </c>
      <c r="I13" s="37" t="str">
        <f t="shared" si="26"/>
        <v>#REF!</v>
      </c>
      <c r="J13" s="37" t="str">
        <f>$AB13*'Calc - Scored'!$C$7 + $AC13*'Calc - Scored'!$D$7 + $AD13*'Calc - Scored'!$E$7 + $AE13*'Calc - Scored'!$F$7 + $AF13*'Calc - Scored'!$G$7 + $AG13*'Calc - Scored'!$H$7 + $AH13*'Calc - Scored'!$I$7 + $AI13*#REF! + $AJ13*#REF! + $AK13*#REF! + $AL13*#REF! + $AM13*#REF! + $AN13*#REF! + $AO13*#REF! + $AP13*#REF! + $AQ13*#REF! + $AR13*#REF! + $AS13*#REF! + $AT13*#REF! + $AU13*#REF!</f>
        <v>#REF!</v>
      </c>
      <c r="K13" s="37" t="str">
        <f>$AB13*'Calc - Scored'!$C$8 + $AC13*'Calc - Scored'!$D$8 + $AD13*'Calc - Scored'!$E$8 + $AE13*'Calc - Scored'!$F$8 + $AF13*'Calc - Scored'!$G$8 + $AG13*'Calc - Scored'!$H$8 + $AH13*'Calc - Scored'!$I$8 + $AI13*#REF! + $AJ13*#REF! + $AK13*#REF! + $AL13*#REF! + $AM13*#REF! + $AN13*#REF! + $AO13*#REF! + $AP13*#REF! + $AQ13*#REF! + $AR13*#REF! + $AS13*#REF! + $AT13*#REF! + $AU13*#REF!</f>
        <v>#REF!</v>
      </c>
      <c r="L13" s="37" t="str">
        <f t="shared" si="9"/>
        <v>#REF!</v>
      </c>
      <c r="M13" s="37" t="str">
        <f t="shared" ref="M13:Z13" si="27">$AB13*#REF! + $AC13*#REF! + $AD13*#REF! + $AE13*#REF! + $AF13*#REF! + $AG13*#REF! + $AH13*#REF! + $AI13*#REF! + $AJ13*#REF! + $AK13*#REF! + $AL13*#REF! + $AM13*#REF! + $AN13*#REF! + $AO13*#REF! + $AP13*#REF! + $AQ13*#REF! + $AR13*#REF! + $AS13*#REF! + $AT13*#REF! + $AU13*#REF!</f>
        <v>#REF!</v>
      </c>
      <c r="N13" s="37" t="str">
        <f t="shared" si="27"/>
        <v>#REF!</v>
      </c>
      <c r="O13" s="37" t="str">
        <f t="shared" si="27"/>
        <v>#REF!</v>
      </c>
      <c r="P13" s="37" t="str">
        <f t="shared" si="27"/>
        <v>#REF!</v>
      </c>
      <c r="Q13" s="37" t="str">
        <f t="shared" si="27"/>
        <v>#REF!</v>
      </c>
      <c r="R13" s="37" t="str">
        <f t="shared" si="27"/>
        <v>#REF!</v>
      </c>
      <c r="S13" s="37" t="str">
        <f t="shared" si="27"/>
        <v>#REF!</v>
      </c>
      <c r="T13" s="37" t="str">
        <f t="shared" si="27"/>
        <v>#REF!</v>
      </c>
      <c r="U13" s="37" t="str">
        <f t="shared" si="27"/>
        <v>#REF!</v>
      </c>
      <c r="V13" s="37" t="str">
        <f t="shared" si="27"/>
        <v>#REF!</v>
      </c>
      <c r="W13" s="37" t="str">
        <f t="shared" si="27"/>
        <v>#REF!</v>
      </c>
      <c r="X13" s="37" t="str">
        <f t="shared" si="27"/>
        <v>#REF!</v>
      </c>
      <c r="Y13" s="37" t="str">
        <f t="shared" si="27"/>
        <v>#REF!</v>
      </c>
      <c r="Z13" s="37" t="str">
        <f t="shared" si="27"/>
        <v>#REF!</v>
      </c>
      <c r="AB13" s="66">
        <f>IF(AB$15="X",$A13, Evaluation!$DG$6 * (100 - $A13) / (100 - WeightOriginal))</f>
        <v>90</v>
      </c>
      <c r="AC13" s="37">
        <f>IF(AC$15="X",$A13,Evaluation!$DG$7 * (100 - $A13) / (100 - WeightOriginal))</f>
        <v>1.176470588</v>
      </c>
      <c r="AD13" s="37">
        <f>IF(AD$15="X",$A13,Evaluation!$DG$8 * (100 - $A13) / (100 - WeightOriginal))</f>
        <v>1.764705882</v>
      </c>
      <c r="AE13" s="37">
        <f>IF(AE$15="X",$A13,Evaluation!$DG$9 * (100 - $A13) / (100 - WeightOriginal))</f>
        <v>1.176470588</v>
      </c>
      <c r="AF13" s="37">
        <f>IF(AF$15="X",$A13,Evaluation!$DG$10 * (100 - $A13) / (100 - WeightOriginal))</f>
        <v>1.176470588</v>
      </c>
      <c r="AG13" s="37">
        <f>IF(AG$15="X",$A13,Evaluation!$DG$11 * (100 - $A13) / (100 - WeightOriginal))</f>
        <v>2.352941176</v>
      </c>
      <c r="AH13" s="37">
        <f>IF(AH$15="X",$A13,Evaluation!$DG$12 * (100 - $A13) / (100 - WeightOriginal))</f>
        <v>2.352941176</v>
      </c>
      <c r="AI13" s="37" t="str">
        <f>IF(AI$15="X",$A13,#REF! * (100 - $A13) / (100 - WeightOriginal))</f>
        <v>#REF!</v>
      </c>
      <c r="AJ13" s="37" t="str">
        <f>IF(AJ$15="X",$A13,#REF! * (100 - $A13) / (100 - WeightOriginal))</f>
        <v>#REF!</v>
      </c>
      <c r="AK13" s="37" t="str">
        <f>IF(AK$15="X",$A13,#REF! * (100 - $A13) / (100 - WeightOriginal))</f>
        <v>#REF!</v>
      </c>
      <c r="AL13" s="37" t="str">
        <f>IF(AL$15="X",$A13,#REF! * (100 - $A13) / (100 - WeightOriginal))</f>
        <v>#REF!</v>
      </c>
      <c r="AM13" s="37" t="str">
        <f>IF(AM$15="X",$A13,#REF! * (100 - $A13) / (100 - WeightOriginal))</f>
        <v>#REF!</v>
      </c>
      <c r="AN13" s="37" t="str">
        <f>IF(AN$15="X",$A13,#REF! * (100 - $A13) / (100 - WeightOriginal))</f>
        <v>#REF!</v>
      </c>
      <c r="AO13" s="37" t="str">
        <f>IF(AO$15="X",$A13,#REF! * (100 - $A13) / (100 - WeightOriginal))</f>
        <v>#REF!</v>
      </c>
      <c r="AP13" s="37" t="str">
        <f>IF(AP$15="X",$A13,#REF! * (100 - $A13) / (100 - WeightOriginal))</f>
        <v>#REF!</v>
      </c>
      <c r="AQ13" s="37" t="str">
        <f>IF(AQ$15="X",$A13,#REF! * (100 - $A13) / (100 - WeightOriginal))</f>
        <v>#REF!</v>
      </c>
      <c r="AR13" s="37" t="str">
        <f>IF(AR$15="X",$A13,#REF! * (100 - $A13) / (100 - WeightOriginal))</f>
        <v>#REF!</v>
      </c>
      <c r="AS13" s="37" t="str">
        <f>IF(AS$15="X",$A13,#REF! * (100 - $A13) / (100 - WeightOriginal))</f>
        <v>#REF!</v>
      </c>
      <c r="AT13" s="37" t="str">
        <f>IF(AT$15="X",$A13,#REF! * (100 - $A13) / (100 - WeightOriginal))</f>
        <v>#REF!</v>
      </c>
      <c r="AU13" s="37" t="str">
        <f>IF(AU$15="X",$A13,#REF! * (100 - $A13) / (100 - WeightOriginal))</f>
        <v>#REF!</v>
      </c>
      <c r="AV13" s="67" t="str">
        <f t="shared" si="11"/>
        <v>#REF!</v>
      </c>
      <c r="AW13" s="61">
        <f>AB13-Evaluation!$DG$6</f>
        <v>75</v>
      </c>
    </row>
    <row r="14" ht="14.25" customHeight="1">
      <c r="A14" s="65">
        <f>'Sensitivity Analysis'!R10</f>
        <v>100</v>
      </c>
      <c r="B14" s="37" t="str">
        <f>$AB14*'Calc - Scored'!$C$3 + $AC14*'Calc - Scored'!$D$3 + $AD14*'Calc - Scored'!$E$3 + $AE14*'Calc - Scored'!$F$3 + $AF14*'Calc - Scored'!$G$3 + $AG14*'Calc - Scored'!$H$3 + $AH14*'Calc - Scored'!$I$3 + $AI14*#REF! + $AJ14*#REF! + $AK14*#REF! + $AL14*#REF! + $AM14*#REF! + $AN14*#REF! + $AO14*#REF! + $AP14*#REF! + $AQ14*#REF! + $AR14*#REF! + $AS14*#REF! + $AT14*#REF! + $AU14*#REF!</f>
        <v>#REF!</v>
      </c>
      <c r="C14" s="37" t="str">
        <f>$AB14*'Calc - Scored'!$C$4 + $AC14*'Calc - Scored'!$D$4 + $AD14*'Calc - Scored'!$E$4 + $AE14*'Calc - Scored'!$F$4 + $AF14*'Calc - Scored'!$G$4 + $AG14*'Calc - Scored'!$H$4 + $AH14*'Calc - Scored'!$I$4 + $AI14*#REF! + $AJ14*#REF! + $AK14*#REF! + $AL14*#REF! + $AM14*#REF! + $AN14*#REF! + $AO14*#REF! + $AP14*#REF! + $AQ14*#REF! + $AR14*#REF! + $AS14*#REF! + $AT14*#REF! + $AU14*#REF!</f>
        <v>#REF!</v>
      </c>
      <c r="D14" s="37" t="str">
        <f>$AB14*'Calc - Scored'!$C$5 + $AC14*'Calc - Scored'!$D$5 + $AD14*'Calc - Scored'!$E$5 + $AE14*'Calc - Scored'!$F$5 + $AF14*'Calc - Scored'!$G$5 + $AG14*'Calc - Scored'!$H$5 + $AH14*'Calc - Scored'!$I$5 + $AI14*#REF! + $AJ14*#REF! + $AK14*#REF! + $AL14*#REF! + $AM14*#REF! + $AN14*#REF! + $AO14*#REF! + $AP14*#REF! + $AQ14*#REF! + $AR14*#REF! + $AS14*#REF! + $AT14*#REF! + $AU14*#REF!</f>
        <v>#REF!</v>
      </c>
      <c r="E14" s="37" t="str">
        <f t="shared" si="7"/>
        <v>#REF!</v>
      </c>
      <c r="F14" s="37" t="str">
        <f>$AB14*'Calc - Scored'!$C$6 + $AC14*'Calc - Scored'!$D$6 + $AD14*'Calc - Scored'!$E$6 + $AE14*'Calc - Scored'!$F$6 + $AF14*'Calc - Scored'!$G$6 + $AG14*'Calc - Scored'!$H$6 + $AH14*'Calc - Scored'!$I$6 + $AI14*#REF! + $AJ14*#REF! + $AK14*#REF! + $AL14*#REF! + $AM14*#REF! + $AN14*#REF! + $AO14*#REF! + $AP14*#REF! + $AQ14*#REF! + $AR14*#REF! + $AS14*#REF! + $AT14*#REF! + $AU14*#REF!</f>
        <v>#REF!</v>
      </c>
      <c r="G14" s="37" t="str">
        <f t="shared" ref="G14:I14" si="28">$AB14*#REF! + $AC14*#REF! + $AD14*#REF! + $AE14*#REF! + $AF14*#REF! + $AG14*#REF! + $AH14*#REF! + $AI14*#REF! + $AJ14*#REF! + $AK14*#REF! + $AL14*#REF! + $AM14*#REF! + $AN14*#REF! + $AO14*#REF! + $AP14*#REF! + $AQ14*#REF! + $AR14*#REF! + $AS14*#REF! + $AT14*#REF! + $AU14*#REF!</f>
        <v>#REF!</v>
      </c>
      <c r="H14" s="37" t="str">
        <f t="shared" si="28"/>
        <v>#REF!</v>
      </c>
      <c r="I14" s="37" t="str">
        <f t="shared" si="28"/>
        <v>#REF!</v>
      </c>
      <c r="J14" s="37" t="str">
        <f>$AB14*'Calc - Scored'!$C$7 + $AC14*'Calc - Scored'!$D$7 + $AD14*'Calc - Scored'!$E$7 + $AE14*'Calc - Scored'!$F$7 + $AF14*'Calc - Scored'!$G$7 + $AG14*'Calc - Scored'!$H$7 + $AH14*'Calc - Scored'!$I$7 + $AI14*#REF! + $AJ14*#REF! + $AK14*#REF! + $AL14*#REF! + $AM14*#REF! + $AN14*#REF! + $AO14*#REF! + $AP14*#REF! + $AQ14*#REF! + $AR14*#REF! + $AS14*#REF! + $AT14*#REF! + $AU14*#REF!</f>
        <v>#REF!</v>
      </c>
      <c r="K14" s="37" t="str">
        <f>$AB14*'Calc - Scored'!$C$8 + $AC14*'Calc - Scored'!$D$8 + $AD14*'Calc - Scored'!$E$8 + $AE14*'Calc - Scored'!$F$8 + $AF14*'Calc - Scored'!$G$8 + $AG14*'Calc - Scored'!$H$8 + $AH14*'Calc - Scored'!$I$8 + $AI14*#REF! + $AJ14*#REF! + $AK14*#REF! + $AL14*#REF! + $AM14*#REF! + $AN14*#REF! + $AO14*#REF! + $AP14*#REF! + $AQ14*#REF! + $AR14*#REF! + $AS14*#REF! + $AT14*#REF! + $AU14*#REF!</f>
        <v>#REF!</v>
      </c>
      <c r="L14" s="37" t="str">
        <f t="shared" si="9"/>
        <v>#REF!</v>
      </c>
      <c r="M14" s="37" t="str">
        <f t="shared" ref="M14:Z14" si="29">$AB14*#REF! + $AC14*#REF! + $AD14*#REF! + $AE14*#REF! + $AF14*#REF! + $AG14*#REF! + $AH14*#REF! + $AI14*#REF! + $AJ14*#REF! + $AK14*#REF! + $AL14*#REF! + $AM14*#REF! + $AN14*#REF! + $AO14*#REF! + $AP14*#REF! + $AQ14*#REF! + $AR14*#REF! + $AS14*#REF! + $AT14*#REF! + $AU14*#REF!</f>
        <v>#REF!</v>
      </c>
      <c r="N14" s="37" t="str">
        <f t="shared" si="29"/>
        <v>#REF!</v>
      </c>
      <c r="O14" s="37" t="str">
        <f t="shared" si="29"/>
        <v>#REF!</v>
      </c>
      <c r="P14" s="37" t="str">
        <f t="shared" si="29"/>
        <v>#REF!</v>
      </c>
      <c r="Q14" s="37" t="str">
        <f t="shared" si="29"/>
        <v>#REF!</v>
      </c>
      <c r="R14" s="37" t="str">
        <f t="shared" si="29"/>
        <v>#REF!</v>
      </c>
      <c r="S14" s="37" t="str">
        <f t="shared" si="29"/>
        <v>#REF!</v>
      </c>
      <c r="T14" s="37" t="str">
        <f t="shared" si="29"/>
        <v>#REF!</v>
      </c>
      <c r="U14" s="37" t="str">
        <f t="shared" si="29"/>
        <v>#REF!</v>
      </c>
      <c r="V14" s="37" t="str">
        <f t="shared" si="29"/>
        <v>#REF!</v>
      </c>
      <c r="W14" s="37" t="str">
        <f t="shared" si="29"/>
        <v>#REF!</v>
      </c>
      <c r="X14" s="37" t="str">
        <f t="shared" si="29"/>
        <v>#REF!</v>
      </c>
      <c r="Y14" s="37" t="str">
        <f t="shared" si="29"/>
        <v>#REF!</v>
      </c>
      <c r="Z14" s="37" t="str">
        <f t="shared" si="29"/>
        <v>#REF!</v>
      </c>
      <c r="AB14" s="66">
        <f>IF(AB$15="X",$A14, Evaluation!$DG$6 * (100 - $A14) / (100 - WeightOriginal))</f>
        <v>100</v>
      </c>
      <c r="AC14" s="37">
        <f>IF(AC$15="X",$A14,Evaluation!$DG$7 * (100 - $A14) / (100 - WeightOriginal))</f>
        <v>0</v>
      </c>
      <c r="AD14" s="37">
        <f>IF(AD$15="X",$A14,Evaluation!$DG$8 * (100 - $A14) / (100 - WeightOriginal))</f>
        <v>0</v>
      </c>
      <c r="AE14" s="37">
        <f>IF(AE$15="X",$A14,Evaluation!$DG$9 * (100 - $A14) / (100 - WeightOriginal))</f>
        <v>0</v>
      </c>
      <c r="AF14" s="37">
        <f>IF(AF$15="X",$A14,Evaluation!$DG$10 * (100 - $A14) / (100 - WeightOriginal))</f>
        <v>0</v>
      </c>
      <c r="AG14" s="37">
        <f>IF(AG$15="X",$A14,Evaluation!$DG$11 * (100 - $A14) / (100 - WeightOriginal))</f>
        <v>0</v>
      </c>
      <c r="AH14" s="37">
        <f>IF(AH$15="X",$A14,Evaluation!$DG$12 * (100 - $A14) / (100 - WeightOriginal))</f>
        <v>0</v>
      </c>
      <c r="AI14" s="37" t="str">
        <f>IF(AI$15="X",$A14,#REF! * (100 - $A14) / (100 - WeightOriginal))</f>
        <v>#REF!</v>
      </c>
      <c r="AJ14" s="37" t="str">
        <f>IF(AJ$15="X",$A14,#REF! * (100 - $A14) / (100 - WeightOriginal))</f>
        <v>#REF!</v>
      </c>
      <c r="AK14" s="37" t="str">
        <f>IF(AK$15="X",$A14,#REF! * (100 - $A14) / (100 - WeightOriginal))</f>
        <v>#REF!</v>
      </c>
      <c r="AL14" s="37" t="str">
        <f>IF(AL$15="X",$A14,#REF! * (100 - $A14) / (100 - WeightOriginal))</f>
        <v>#REF!</v>
      </c>
      <c r="AM14" s="37" t="str">
        <f>IF(AM$15="X",$A14,#REF! * (100 - $A14) / (100 - WeightOriginal))</f>
        <v>#REF!</v>
      </c>
      <c r="AN14" s="37" t="str">
        <f>IF(AN$15="X",$A14,#REF! * (100 - $A14) / (100 - WeightOriginal))</f>
        <v>#REF!</v>
      </c>
      <c r="AO14" s="37" t="str">
        <f>IF(AO$15="X",$A14,#REF! * (100 - $A14) / (100 - WeightOriginal))</f>
        <v>#REF!</v>
      </c>
      <c r="AP14" s="37" t="str">
        <f>IF(AP$15="X",$A14,#REF! * (100 - $A14) / (100 - WeightOriginal))</f>
        <v>#REF!</v>
      </c>
      <c r="AQ14" s="37" t="str">
        <f>IF(AQ$15="X",$A14,#REF! * (100 - $A14) / (100 - WeightOriginal))</f>
        <v>#REF!</v>
      </c>
      <c r="AR14" s="37" t="str">
        <f>IF(AR$15="X",$A14,#REF! * (100 - $A14) / (100 - WeightOriginal))</f>
        <v>#REF!</v>
      </c>
      <c r="AS14" s="37" t="str">
        <f>IF(AS$15="X",$A14,#REF! * (100 - $A14) / (100 - WeightOriginal))</f>
        <v>#REF!</v>
      </c>
      <c r="AT14" s="37" t="str">
        <f>IF(AT$15="X",$A14,#REF! * (100 - $A14) / (100 - WeightOriginal))</f>
        <v>#REF!</v>
      </c>
      <c r="AU14" s="37" t="str">
        <f>IF(AU$15="X",$A14,#REF! * (100 - $A14) / (100 - WeightOriginal))</f>
        <v>#REF!</v>
      </c>
      <c r="AV14" s="67" t="str">
        <f t="shared" si="11"/>
        <v>#REF!</v>
      </c>
      <c r="AW14" s="61">
        <f>AB14-Evaluation!$DG$6</f>
        <v>85</v>
      </c>
    </row>
    <row r="15" ht="14.25" customHeight="1">
      <c r="A15" s="40"/>
      <c r="AB15" s="63" t="str">
        <f t="shared" ref="AB15:AU15" si="30">IF(AB3=$A$2,"X","")</f>
        <v>X</v>
      </c>
      <c r="AC15" s="63" t="str">
        <f t="shared" si="30"/>
        <v/>
      </c>
      <c r="AD15" s="63" t="str">
        <f t="shared" si="30"/>
        <v/>
      </c>
      <c r="AE15" s="63" t="str">
        <f t="shared" si="30"/>
        <v/>
      </c>
      <c r="AF15" s="63" t="str">
        <f t="shared" si="30"/>
        <v/>
      </c>
      <c r="AG15" s="63" t="str">
        <f t="shared" si="30"/>
        <v/>
      </c>
      <c r="AH15" s="63" t="str">
        <f t="shared" si="30"/>
        <v/>
      </c>
      <c r="AI15" s="63" t="str">
        <f t="shared" si="30"/>
        <v>#REF!</v>
      </c>
      <c r="AJ15" s="63" t="str">
        <f t="shared" si="30"/>
        <v>#REF!</v>
      </c>
      <c r="AK15" s="63" t="str">
        <f t="shared" si="30"/>
        <v>#REF!</v>
      </c>
      <c r="AL15" s="63" t="str">
        <f t="shared" si="30"/>
        <v>#REF!</v>
      </c>
      <c r="AM15" s="63" t="str">
        <f t="shared" si="30"/>
        <v>#REF!</v>
      </c>
      <c r="AN15" s="63" t="str">
        <f t="shared" si="30"/>
        <v>#REF!</v>
      </c>
      <c r="AO15" s="63" t="str">
        <f t="shared" si="30"/>
        <v>#REF!</v>
      </c>
      <c r="AP15" s="63" t="str">
        <f t="shared" si="30"/>
        <v>#REF!</v>
      </c>
      <c r="AQ15" s="63" t="str">
        <f t="shared" si="30"/>
        <v>#REF!</v>
      </c>
      <c r="AR15" s="63" t="str">
        <f t="shared" si="30"/>
        <v>#REF!</v>
      </c>
      <c r="AS15" s="63" t="str">
        <f t="shared" si="30"/>
        <v>#REF!</v>
      </c>
      <c r="AT15" s="63" t="str">
        <f t="shared" si="30"/>
        <v>#REF!</v>
      </c>
      <c r="AU15" s="63" t="str">
        <f t="shared" si="30"/>
        <v>#REF!</v>
      </c>
    </row>
    <row r="16" ht="14.25" customHeight="1">
      <c r="A16" s="21"/>
    </row>
    <row r="17" ht="14.25" customHeight="1">
      <c r="A17" s="68"/>
    </row>
    <row r="18" ht="14.25" customHeight="1">
      <c r="A18" s="40"/>
      <c r="B18" s="64" t="s">
        <v>46</v>
      </c>
      <c r="C18" s="54"/>
      <c r="D18" s="54"/>
      <c r="E18" s="54"/>
      <c r="F18" s="54"/>
      <c r="G18" s="54"/>
      <c r="H18" s="54"/>
      <c r="I18" s="54"/>
      <c r="J18" s="54"/>
      <c r="K18" s="54"/>
      <c r="L18" s="54"/>
      <c r="M18" s="54"/>
      <c r="N18" s="54"/>
      <c r="O18" s="54"/>
      <c r="P18" s="54"/>
      <c r="Q18" s="54"/>
      <c r="R18" s="54"/>
      <c r="S18" s="54"/>
      <c r="T18" s="54"/>
      <c r="U18" s="54"/>
      <c r="V18" s="54"/>
      <c r="W18" s="54"/>
      <c r="X18" s="54"/>
      <c r="Y18" s="54"/>
      <c r="Z18" s="55"/>
      <c r="AB18" s="61"/>
    </row>
    <row r="19" ht="14.25" customHeight="1">
      <c r="A19" s="56" t="s">
        <v>29</v>
      </c>
      <c r="B19" s="56" t="str">
        <f>'Raw Data'!A3</f>
        <v>Filter in spike, two chamber, clamp in</v>
      </c>
      <c r="C19" s="56" t="str">
        <f>'Raw Data'!A4</f>
        <v>Filter in bottom chamber, two chamber, clamp in</v>
      </c>
      <c r="D19" s="56" t="str">
        <f>'Raw Data'!A5</f>
        <v>Filter in spike, two chamber, screw in</v>
      </c>
      <c r="E19" s="56" t="str">
        <f>#REF!</f>
        <v>#REF!</v>
      </c>
      <c r="F19" s="56" t="str">
        <f>'Raw Data'!A6</f>
        <v>Filter in bottom chamber, two chamber, screw in</v>
      </c>
      <c r="G19" s="56" t="str">
        <f t="shared" ref="G19:I19" si="31">#REF!</f>
        <v>#REF!</v>
      </c>
      <c r="H19" s="56" t="str">
        <f t="shared" si="31"/>
        <v>#REF!</v>
      </c>
      <c r="I19" s="56" t="str">
        <f t="shared" si="31"/>
        <v>#REF!</v>
      </c>
      <c r="J19" s="56" t="str">
        <f>'Raw Data'!A7</f>
        <v>Single Chamber flat filter</v>
      </c>
      <c r="K19" s="56" t="str">
        <f>'Raw Data'!A8</f>
        <v>Single chamber, cone filter</v>
      </c>
      <c r="L19" s="56" t="str">
        <f>#REF!</f>
        <v>#REF!</v>
      </c>
      <c r="M19" s="56" t="str">
        <f t="shared" ref="M19:Z19" si="32">#REF!</f>
        <v>#REF!</v>
      </c>
      <c r="N19" s="56" t="str">
        <f t="shared" si="32"/>
        <v>#REF!</v>
      </c>
      <c r="O19" s="56" t="str">
        <f t="shared" si="32"/>
        <v>#REF!</v>
      </c>
      <c r="P19" s="56" t="str">
        <f t="shared" si="32"/>
        <v>#REF!</v>
      </c>
      <c r="Q19" s="56" t="str">
        <f t="shared" si="32"/>
        <v>#REF!</v>
      </c>
      <c r="R19" s="56" t="str">
        <f t="shared" si="32"/>
        <v>#REF!</v>
      </c>
      <c r="S19" s="56" t="str">
        <f t="shared" si="32"/>
        <v>#REF!</v>
      </c>
      <c r="T19" s="56" t="str">
        <f t="shared" si="32"/>
        <v>#REF!</v>
      </c>
      <c r="U19" s="56" t="str">
        <f t="shared" si="32"/>
        <v>#REF!</v>
      </c>
      <c r="V19" s="56" t="str">
        <f t="shared" si="32"/>
        <v>#REF!</v>
      </c>
      <c r="W19" s="56" t="str">
        <f t="shared" si="32"/>
        <v>#REF!</v>
      </c>
      <c r="X19" s="56" t="str">
        <f t="shared" si="32"/>
        <v>#REF!</v>
      </c>
      <c r="Y19" s="56" t="str">
        <f t="shared" si="32"/>
        <v>#REF!</v>
      </c>
      <c r="Z19" s="56" t="str">
        <f t="shared" si="32"/>
        <v>#REF!</v>
      </c>
    </row>
    <row r="20" ht="14.25" customHeight="1">
      <c r="A20" s="65">
        <f t="shared" ref="A20:A30" si="34">A4</f>
        <v>0</v>
      </c>
      <c r="B20" s="60" t="str">
        <f t="shared" ref="B20:Z20" si="33">RANK(B4,$B4:$Z4)</f>
        <v>#REF!</v>
      </c>
      <c r="C20" s="60" t="str">
        <f t="shared" si="33"/>
        <v>#REF!</v>
      </c>
      <c r="D20" s="60" t="str">
        <f t="shared" si="33"/>
        <v>#REF!</v>
      </c>
      <c r="E20" s="60" t="str">
        <f t="shared" si="33"/>
        <v>#REF!</v>
      </c>
      <c r="F20" s="60" t="str">
        <f t="shared" si="33"/>
        <v>#REF!</v>
      </c>
      <c r="G20" s="60" t="str">
        <f t="shared" si="33"/>
        <v>#REF!</v>
      </c>
      <c r="H20" s="60" t="str">
        <f t="shared" si="33"/>
        <v>#REF!</v>
      </c>
      <c r="I20" s="60" t="str">
        <f t="shared" si="33"/>
        <v>#REF!</v>
      </c>
      <c r="J20" s="60" t="str">
        <f t="shared" si="33"/>
        <v>#REF!</v>
      </c>
      <c r="K20" s="60" t="str">
        <f t="shared" si="33"/>
        <v>#REF!</v>
      </c>
      <c r="L20" s="60" t="str">
        <f t="shared" si="33"/>
        <v>#REF!</v>
      </c>
      <c r="M20" s="60" t="str">
        <f t="shared" si="33"/>
        <v>#REF!</v>
      </c>
      <c r="N20" s="60" t="str">
        <f t="shared" si="33"/>
        <v>#REF!</v>
      </c>
      <c r="O20" s="60" t="str">
        <f t="shared" si="33"/>
        <v>#REF!</v>
      </c>
      <c r="P20" s="60" t="str">
        <f t="shared" si="33"/>
        <v>#REF!</v>
      </c>
      <c r="Q20" s="60" t="str">
        <f t="shared" si="33"/>
        <v>#REF!</v>
      </c>
      <c r="R20" s="60" t="str">
        <f t="shared" si="33"/>
        <v>#REF!</v>
      </c>
      <c r="S20" s="60" t="str">
        <f t="shared" si="33"/>
        <v>#REF!</v>
      </c>
      <c r="T20" s="60" t="str">
        <f t="shared" si="33"/>
        <v>#REF!</v>
      </c>
      <c r="U20" s="60" t="str">
        <f t="shared" si="33"/>
        <v>#REF!</v>
      </c>
      <c r="V20" s="60" t="str">
        <f t="shared" si="33"/>
        <v>#REF!</v>
      </c>
      <c r="W20" s="60" t="str">
        <f t="shared" si="33"/>
        <v>#REF!</v>
      </c>
      <c r="X20" s="60" t="str">
        <f t="shared" si="33"/>
        <v>#REF!</v>
      </c>
      <c r="Y20" s="60" t="str">
        <f t="shared" si="33"/>
        <v>#REF!</v>
      </c>
      <c r="Z20" s="60" t="str">
        <f t="shared" si="33"/>
        <v>#REF!</v>
      </c>
    </row>
    <row r="21" ht="14.25" customHeight="1">
      <c r="A21" s="65">
        <f t="shared" si="34"/>
        <v>10</v>
      </c>
      <c r="B21" s="60" t="str">
        <f t="shared" ref="B21:Z21" si="35">RANK(B5,$B5:$Z5)</f>
        <v>#REF!</v>
      </c>
      <c r="C21" s="60" t="str">
        <f t="shared" si="35"/>
        <v>#REF!</v>
      </c>
      <c r="D21" s="60" t="str">
        <f t="shared" si="35"/>
        <v>#REF!</v>
      </c>
      <c r="E21" s="60" t="str">
        <f t="shared" si="35"/>
        <v>#REF!</v>
      </c>
      <c r="F21" s="60" t="str">
        <f t="shared" si="35"/>
        <v>#REF!</v>
      </c>
      <c r="G21" s="60" t="str">
        <f t="shared" si="35"/>
        <v>#REF!</v>
      </c>
      <c r="H21" s="60" t="str">
        <f t="shared" si="35"/>
        <v>#REF!</v>
      </c>
      <c r="I21" s="60" t="str">
        <f t="shared" si="35"/>
        <v>#REF!</v>
      </c>
      <c r="J21" s="60" t="str">
        <f t="shared" si="35"/>
        <v>#REF!</v>
      </c>
      <c r="K21" s="60" t="str">
        <f t="shared" si="35"/>
        <v>#REF!</v>
      </c>
      <c r="L21" s="60" t="str">
        <f t="shared" si="35"/>
        <v>#REF!</v>
      </c>
      <c r="M21" s="60" t="str">
        <f t="shared" si="35"/>
        <v>#REF!</v>
      </c>
      <c r="N21" s="60" t="str">
        <f t="shared" si="35"/>
        <v>#REF!</v>
      </c>
      <c r="O21" s="60" t="str">
        <f t="shared" si="35"/>
        <v>#REF!</v>
      </c>
      <c r="P21" s="60" t="str">
        <f t="shared" si="35"/>
        <v>#REF!</v>
      </c>
      <c r="Q21" s="60" t="str">
        <f t="shared" si="35"/>
        <v>#REF!</v>
      </c>
      <c r="R21" s="60" t="str">
        <f t="shared" si="35"/>
        <v>#REF!</v>
      </c>
      <c r="S21" s="60" t="str">
        <f t="shared" si="35"/>
        <v>#REF!</v>
      </c>
      <c r="T21" s="60" t="str">
        <f t="shared" si="35"/>
        <v>#REF!</v>
      </c>
      <c r="U21" s="60" t="str">
        <f t="shared" si="35"/>
        <v>#REF!</v>
      </c>
      <c r="V21" s="60" t="str">
        <f t="shared" si="35"/>
        <v>#REF!</v>
      </c>
      <c r="W21" s="60" t="str">
        <f t="shared" si="35"/>
        <v>#REF!</v>
      </c>
      <c r="X21" s="60" t="str">
        <f t="shared" si="35"/>
        <v>#REF!</v>
      </c>
      <c r="Y21" s="60" t="str">
        <f t="shared" si="35"/>
        <v>#REF!</v>
      </c>
      <c r="Z21" s="60" t="str">
        <f t="shared" si="35"/>
        <v>#REF!</v>
      </c>
    </row>
    <row r="22" ht="14.25" customHeight="1">
      <c r="A22" s="65">
        <f t="shared" si="34"/>
        <v>20</v>
      </c>
      <c r="B22" s="60" t="str">
        <f t="shared" ref="B22:Z22" si="36">RANK(B6,$B6:$Z6)</f>
        <v>#REF!</v>
      </c>
      <c r="C22" s="60" t="str">
        <f t="shared" si="36"/>
        <v>#REF!</v>
      </c>
      <c r="D22" s="60" t="str">
        <f t="shared" si="36"/>
        <v>#REF!</v>
      </c>
      <c r="E22" s="60" t="str">
        <f t="shared" si="36"/>
        <v>#REF!</v>
      </c>
      <c r="F22" s="60" t="str">
        <f t="shared" si="36"/>
        <v>#REF!</v>
      </c>
      <c r="G22" s="60" t="str">
        <f t="shared" si="36"/>
        <v>#REF!</v>
      </c>
      <c r="H22" s="60" t="str">
        <f t="shared" si="36"/>
        <v>#REF!</v>
      </c>
      <c r="I22" s="60" t="str">
        <f t="shared" si="36"/>
        <v>#REF!</v>
      </c>
      <c r="J22" s="60" t="str">
        <f t="shared" si="36"/>
        <v>#REF!</v>
      </c>
      <c r="K22" s="60" t="str">
        <f t="shared" si="36"/>
        <v>#REF!</v>
      </c>
      <c r="L22" s="60" t="str">
        <f t="shared" si="36"/>
        <v>#REF!</v>
      </c>
      <c r="M22" s="60" t="str">
        <f t="shared" si="36"/>
        <v>#REF!</v>
      </c>
      <c r="N22" s="60" t="str">
        <f t="shared" si="36"/>
        <v>#REF!</v>
      </c>
      <c r="O22" s="60" t="str">
        <f t="shared" si="36"/>
        <v>#REF!</v>
      </c>
      <c r="P22" s="60" t="str">
        <f t="shared" si="36"/>
        <v>#REF!</v>
      </c>
      <c r="Q22" s="60" t="str">
        <f t="shared" si="36"/>
        <v>#REF!</v>
      </c>
      <c r="R22" s="60" t="str">
        <f t="shared" si="36"/>
        <v>#REF!</v>
      </c>
      <c r="S22" s="60" t="str">
        <f t="shared" si="36"/>
        <v>#REF!</v>
      </c>
      <c r="T22" s="60" t="str">
        <f t="shared" si="36"/>
        <v>#REF!</v>
      </c>
      <c r="U22" s="60" t="str">
        <f t="shared" si="36"/>
        <v>#REF!</v>
      </c>
      <c r="V22" s="60" t="str">
        <f t="shared" si="36"/>
        <v>#REF!</v>
      </c>
      <c r="W22" s="60" t="str">
        <f t="shared" si="36"/>
        <v>#REF!</v>
      </c>
      <c r="X22" s="60" t="str">
        <f t="shared" si="36"/>
        <v>#REF!</v>
      </c>
      <c r="Y22" s="60" t="str">
        <f t="shared" si="36"/>
        <v>#REF!</v>
      </c>
      <c r="Z22" s="60" t="str">
        <f t="shared" si="36"/>
        <v>#REF!</v>
      </c>
    </row>
    <row r="23" ht="14.25" customHeight="1">
      <c r="A23" s="65">
        <f t="shared" si="34"/>
        <v>30</v>
      </c>
      <c r="B23" s="60" t="str">
        <f t="shared" ref="B23:Z23" si="37">RANK(B7,$B7:$Z7)</f>
        <v>#REF!</v>
      </c>
      <c r="C23" s="60" t="str">
        <f t="shared" si="37"/>
        <v>#REF!</v>
      </c>
      <c r="D23" s="60" t="str">
        <f t="shared" si="37"/>
        <v>#REF!</v>
      </c>
      <c r="E23" s="60" t="str">
        <f t="shared" si="37"/>
        <v>#REF!</v>
      </c>
      <c r="F23" s="60" t="str">
        <f t="shared" si="37"/>
        <v>#REF!</v>
      </c>
      <c r="G23" s="60" t="str">
        <f t="shared" si="37"/>
        <v>#REF!</v>
      </c>
      <c r="H23" s="60" t="str">
        <f t="shared" si="37"/>
        <v>#REF!</v>
      </c>
      <c r="I23" s="60" t="str">
        <f t="shared" si="37"/>
        <v>#REF!</v>
      </c>
      <c r="J23" s="60" t="str">
        <f t="shared" si="37"/>
        <v>#REF!</v>
      </c>
      <c r="K23" s="60" t="str">
        <f t="shared" si="37"/>
        <v>#REF!</v>
      </c>
      <c r="L23" s="60" t="str">
        <f t="shared" si="37"/>
        <v>#REF!</v>
      </c>
      <c r="M23" s="60" t="str">
        <f t="shared" si="37"/>
        <v>#REF!</v>
      </c>
      <c r="N23" s="60" t="str">
        <f t="shared" si="37"/>
        <v>#REF!</v>
      </c>
      <c r="O23" s="60" t="str">
        <f t="shared" si="37"/>
        <v>#REF!</v>
      </c>
      <c r="P23" s="60" t="str">
        <f t="shared" si="37"/>
        <v>#REF!</v>
      </c>
      <c r="Q23" s="60" t="str">
        <f t="shared" si="37"/>
        <v>#REF!</v>
      </c>
      <c r="R23" s="60" t="str">
        <f t="shared" si="37"/>
        <v>#REF!</v>
      </c>
      <c r="S23" s="60" t="str">
        <f t="shared" si="37"/>
        <v>#REF!</v>
      </c>
      <c r="T23" s="60" t="str">
        <f t="shared" si="37"/>
        <v>#REF!</v>
      </c>
      <c r="U23" s="60" t="str">
        <f t="shared" si="37"/>
        <v>#REF!</v>
      </c>
      <c r="V23" s="60" t="str">
        <f t="shared" si="37"/>
        <v>#REF!</v>
      </c>
      <c r="W23" s="60" t="str">
        <f t="shared" si="37"/>
        <v>#REF!</v>
      </c>
      <c r="X23" s="60" t="str">
        <f t="shared" si="37"/>
        <v>#REF!</v>
      </c>
      <c r="Y23" s="60" t="str">
        <f t="shared" si="37"/>
        <v>#REF!</v>
      </c>
      <c r="Z23" s="60" t="str">
        <f t="shared" si="37"/>
        <v>#REF!</v>
      </c>
    </row>
    <row r="24" ht="14.25" customHeight="1">
      <c r="A24" s="65">
        <f t="shared" si="34"/>
        <v>40</v>
      </c>
      <c r="B24" s="60" t="str">
        <f t="shared" ref="B24:Z24" si="38">RANK(B8,$B8:$Z8)</f>
        <v>#REF!</v>
      </c>
      <c r="C24" s="60" t="str">
        <f t="shared" si="38"/>
        <v>#REF!</v>
      </c>
      <c r="D24" s="60" t="str">
        <f t="shared" si="38"/>
        <v>#REF!</v>
      </c>
      <c r="E24" s="60" t="str">
        <f t="shared" si="38"/>
        <v>#REF!</v>
      </c>
      <c r="F24" s="60" t="str">
        <f t="shared" si="38"/>
        <v>#REF!</v>
      </c>
      <c r="G24" s="60" t="str">
        <f t="shared" si="38"/>
        <v>#REF!</v>
      </c>
      <c r="H24" s="60" t="str">
        <f t="shared" si="38"/>
        <v>#REF!</v>
      </c>
      <c r="I24" s="60" t="str">
        <f t="shared" si="38"/>
        <v>#REF!</v>
      </c>
      <c r="J24" s="60" t="str">
        <f t="shared" si="38"/>
        <v>#REF!</v>
      </c>
      <c r="K24" s="60" t="str">
        <f t="shared" si="38"/>
        <v>#REF!</v>
      </c>
      <c r="L24" s="60" t="str">
        <f t="shared" si="38"/>
        <v>#REF!</v>
      </c>
      <c r="M24" s="60" t="str">
        <f t="shared" si="38"/>
        <v>#REF!</v>
      </c>
      <c r="N24" s="60" t="str">
        <f t="shared" si="38"/>
        <v>#REF!</v>
      </c>
      <c r="O24" s="60" t="str">
        <f t="shared" si="38"/>
        <v>#REF!</v>
      </c>
      <c r="P24" s="60" t="str">
        <f t="shared" si="38"/>
        <v>#REF!</v>
      </c>
      <c r="Q24" s="60" t="str">
        <f t="shared" si="38"/>
        <v>#REF!</v>
      </c>
      <c r="R24" s="60" t="str">
        <f t="shared" si="38"/>
        <v>#REF!</v>
      </c>
      <c r="S24" s="60" t="str">
        <f t="shared" si="38"/>
        <v>#REF!</v>
      </c>
      <c r="T24" s="60" t="str">
        <f t="shared" si="38"/>
        <v>#REF!</v>
      </c>
      <c r="U24" s="60" t="str">
        <f t="shared" si="38"/>
        <v>#REF!</v>
      </c>
      <c r="V24" s="60" t="str">
        <f t="shared" si="38"/>
        <v>#REF!</v>
      </c>
      <c r="W24" s="60" t="str">
        <f t="shared" si="38"/>
        <v>#REF!</v>
      </c>
      <c r="X24" s="60" t="str">
        <f t="shared" si="38"/>
        <v>#REF!</v>
      </c>
      <c r="Y24" s="60" t="str">
        <f t="shared" si="38"/>
        <v>#REF!</v>
      </c>
      <c r="Z24" s="60" t="str">
        <f t="shared" si="38"/>
        <v>#REF!</v>
      </c>
    </row>
    <row r="25" ht="14.25" customHeight="1">
      <c r="A25" s="65">
        <f t="shared" si="34"/>
        <v>50</v>
      </c>
      <c r="B25" s="60" t="str">
        <f t="shared" ref="B25:Z25" si="39">RANK(B9,$B9:$Z9)</f>
        <v>#REF!</v>
      </c>
      <c r="C25" s="60" t="str">
        <f t="shared" si="39"/>
        <v>#REF!</v>
      </c>
      <c r="D25" s="60" t="str">
        <f t="shared" si="39"/>
        <v>#REF!</v>
      </c>
      <c r="E25" s="60" t="str">
        <f t="shared" si="39"/>
        <v>#REF!</v>
      </c>
      <c r="F25" s="60" t="str">
        <f t="shared" si="39"/>
        <v>#REF!</v>
      </c>
      <c r="G25" s="60" t="str">
        <f t="shared" si="39"/>
        <v>#REF!</v>
      </c>
      <c r="H25" s="60" t="str">
        <f t="shared" si="39"/>
        <v>#REF!</v>
      </c>
      <c r="I25" s="60" t="str">
        <f t="shared" si="39"/>
        <v>#REF!</v>
      </c>
      <c r="J25" s="60" t="str">
        <f t="shared" si="39"/>
        <v>#REF!</v>
      </c>
      <c r="K25" s="60" t="str">
        <f t="shared" si="39"/>
        <v>#REF!</v>
      </c>
      <c r="L25" s="60" t="str">
        <f t="shared" si="39"/>
        <v>#REF!</v>
      </c>
      <c r="M25" s="60" t="str">
        <f t="shared" si="39"/>
        <v>#REF!</v>
      </c>
      <c r="N25" s="60" t="str">
        <f t="shared" si="39"/>
        <v>#REF!</v>
      </c>
      <c r="O25" s="60" t="str">
        <f t="shared" si="39"/>
        <v>#REF!</v>
      </c>
      <c r="P25" s="60" t="str">
        <f t="shared" si="39"/>
        <v>#REF!</v>
      </c>
      <c r="Q25" s="60" t="str">
        <f t="shared" si="39"/>
        <v>#REF!</v>
      </c>
      <c r="R25" s="60" t="str">
        <f t="shared" si="39"/>
        <v>#REF!</v>
      </c>
      <c r="S25" s="60" t="str">
        <f t="shared" si="39"/>
        <v>#REF!</v>
      </c>
      <c r="T25" s="60" t="str">
        <f t="shared" si="39"/>
        <v>#REF!</v>
      </c>
      <c r="U25" s="60" t="str">
        <f t="shared" si="39"/>
        <v>#REF!</v>
      </c>
      <c r="V25" s="60" t="str">
        <f t="shared" si="39"/>
        <v>#REF!</v>
      </c>
      <c r="W25" s="60" t="str">
        <f t="shared" si="39"/>
        <v>#REF!</v>
      </c>
      <c r="X25" s="60" t="str">
        <f t="shared" si="39"/>
        <v>#REF!</v>
      </c>
      <c r="Y25" s="60" t="str">
        <f t="shared" si="39"/>
        <v>#REF!</v>
      </c>
      <c r="Z25" s="60" t="str">
        <f t="shared" si="39"/>
        <v>#REF!</v>
      </c>
    </row>
    <row r="26" ht="14.25" customHeight="1">
      <c r="A26" s="65">
        <f t="shared" si="34"/>
        <v>60</v>
      </c>
      <c r="B26" s="60" t="str">
        <f t="shared" ref="B26:Z26" si="40">RANK(B10,$B10:$Z10)</f>
        <v>#REF!</v>
      </c>
      <c r="C26" s="60" t="str">
        <f t="shared" si="40"/>
        <v>#REF!</v>
      </c>
      <c r="D26" s="60" t="str">
        <f t="shared" si="40"/>
        <v>#REF!</v>
      </c>
      <c r="E26" s="60" t="str">
        <f t="shared" si="40"/>
        <v>#REF!</v>
      </c>
      <c r="F26" s="60" t="str">
        <f t="shared" si="40"/>
        <v>#REF!</v>
      </c>
      <c r="G26" s="60" t="str">
        <f t="shared" si="40"/>
        <v>#REF!</v>
      </c>
      <c r="H26" s="60" t="str">
        <f t="shared" si="40"/>
        <v>#REF!</v>
      </c>
      <c r="I26" s="60" t="str">
        <f t="shared" si="40"/>
        <v>#REF!</v>
      </c>
      <c r="J26" s="60" t="str">
        <f t="shared" si="40"/>
        <v>#REF!</v>
      </c>
      <c r="K26" s="60" t="str">
        <f t="shared" si="40"/>
        <v>#REF!</v>
      </c>
      <c r="L26" s="60" t="str">
        <f t="shared" si="40"/>
        <v>#REF!</v>
      </c>
      <c r="M26" s="60" t="str">
        <f t="shared" si="40"/>
        <v>#REF!</v>
      </c>
      <c r="N26" s="60" t="str">
        <f t="shared" si="40"/>
        <v>#REF!</v>
      </c>
      <c r="O26" s="60" t="str">
        <f t="shared" si="40"/>
        <v>#REF!</v>
      </c>
      <c r="P26" s="60" t="str">
        <f t="shared" si="40"/>
        <v>#REF!</v>
      </c>
      <c r="Q26" s="60" t="str">
        <f t="shared" si="40"/>
        <v>#REF!</v>
      </c>
      <c r="R26" s="60" t="str">
        <f t="shared" si="40"/>
        <v>#REF!</v>
      </c>
      <c r="S26" s="60" t="str">
        <f t="shared" si="40"/>
        <v>#REF!</v>
      </c>
      <c r="T26" s="60" t="str">
        <f t="shared" si="40"/>
        <v>#REF!</v>
      </c>
      <c r="U26" s="60" t="str">
        <f t="shared" si="40"/>
        <v>#REF!</v>
      </c>
      <c r="V26" s="60" t="str">
        <f t="shared" si="40"/>
        <v>#REF!</v>
      </c>
      <c r="W26" s="60" t="str">
        <f t="shared" si="40"/>
        <v>#REF!</v>
      </c>
      <c r="X26" s="60" t="str">
        <f t="shared" si="40"/>
        <v>#REF!</v>
      </c>
      <c r="Y26" s="60" t="str">
        <f t="shared" si="40"/>
        <v>#REF!</v>
      </c>
      <c r="Z26" s="60" t="str">
        <f t="shared" si="40"/>
        <v>#REF!</v>
      </c>
    </row>
    <row r="27" ht="14.25" customHeight="1">
      <c r="A27" s="65">
        <f t="shared" si="34"/>
        <v>70</v>
      </c>
      <c r="B27" s="60" t="str">
        <f t="shared" ref="B27:Z27" si="41">RANK(B11,$B11:$Z11)</f>
        <v>#REF!</v>
      </c>
      <c r="C27" s="60" t="str">
        <f t="shared" si="41"/>
        <v>#REF!</v>
      </c>
      <c r="D27" s="60" t="str">
        <f t="shared" si="41"/>
        <v>#REF!</v>
      </c>
      <c r="E27" s="60" t="str">
        <f t="shared" si="41"/>
        <v>#REF!</v>
      </c>
      <c r="F27" s="60" t="str">
        <f t="shared" si="41"/>
        <v>#REF!</v>
      </c>
      <c r="G27" s="60" t="str">
        <f t="shared" si="41"/>
        <v>#REF!</v>
      </c>
      <c r="H27" s="60" t="str">
        <f t="shared" si="41"/>
        <v>#REF!</v>
      </c>
      <c r="I27" s="60" t="str">
        <f t="shared" si="41"/>
        <v>#REF!</v>
      </c>
      <c r="J27" s="60" t="str">
        <f t="shared" si="41"/>
        <v>#REF!</v>
      </c>
      <c r="K27" s="60" t="str">
        <f t="shared" si="41"/>
        <v>#REF!</v>
      </c>
      <c r="L27" s="60" t="str">
        <f t="shared" si="41"/>
        <v>#REF!</v>
      </c>
      <c r="M27" s="60" t="str">
        <f t="shared" si="41"/>
        <v>#REF!</v>
      </c>
      <c r="N27" s="60" t="str">
        <f t="shared" si="41"/>
        <v>#REF!</v>
      </c>
      <c r="O27" s="60" t="str">
        <f t="shared" si="41"/>
        <v>#REF!</v>
      </c>
      <c r="P27" s="60" t="str">
        <f t="shared" si="41"/>
        <v>#REF!</v>
      </c>
      <c r="Q27" s="60" t="str">
        <f t="shared" si="41"/>
        <v>#REF!</v>
      </c>
      <c r="R27" s="60" t="str">
        <f t="shared" si="41"/>
        <v>#REF!</v>
      </c>
      <c r="S27" s="60" t="str">
        <f t="shared" si="41"/>
        <v>#REF!</v>
      </c>
      <c r="T27" s="60" t="str">
        <f t="shared" si="41"/>
        <v>#REF!</v>
      </c>
      <c r="U27" s="60" t="str">
        <f t="shared" si="41"/>
        <v>#REF!</v>
      </c>
      <c r="V27" s="60" t="str">
        <f t="shared" si="41"/>
        <v>#REF!</v>
      </c>
      <c r="W27" s="60" t="str">
        <f t="shared" si="41"/>
        <v>#REF!</v>
      </c>
      <c r="X27" s="60" t="str">
        <f t="shared" si="41"/>
        <v>#REF!</v>
      </c>
      <c r="Y27" s="60" t="str">
        <f t="shared" si="41"/>
        <v>#REF!</v>
      </c>
      <c r="Z27" s="60" t="str">
        <f t="shared" si="41"/>
        <v>#REF!</v>
      </c>
    </row>
    <row r="28" ht="14.25" customHeight="1">
      <c r="A28" s="65">
        <f t="shared" si="34"/>
        <v>80</v>
      </c>
      <c r="B28" s="60" t="str">
        <f t="shared" ref="B28:Z28" si="42">RANK(B12,$B12:$Z12)</f>
        <v>#REF!</v>
      </c>
      <c r="C28" s="60" t="str">
        <f t="shared" si="42"/>
        <v>#REF!</v>
      </c>
      <c r="D28" s="60" t="str">
        <f t="shared" si="42"/>
        <v>#REF!</v>
      </c>
      <c r="E28" s="60" t="str">
        <f t="shared" si="42"/>
        <v>#REF!</v>
      </c>
      <c r="F28" s="60" t="str">
        <f t="shared" si="42"/>
        <v>#REF!</v>
      </c>
      <c r="G28" s="60" t="str">
        <f t="shared" si="42"/>
        <v>#REF!</v>
      </c>
      <c r="H28" s="60" t="str">
        <f t="shared" si="42"/>
        <v>#REF!</v>
      </c>
      <c r="I28" s="60" t="str">
        <f t="shared" si="42"/>
        <v>#REF!</v>
      </c>
      <c r="J28" s="60" t="str">
        <f t="shared" si="42"/>
        <v>#REF!</v>
      </c>
      <c r="K28" s="60" t="str">
        <f t="shared" si="42"/>
        <v>#REF!</v>
      </c>
      <c r="L28" s="60" t="str">
        <f t="shared" si="42"/>
        <v>#REF!</v>
      </c>
      <c r="M28" s="60" t="str">
        <f t="shared" si="42"/>
        <v>#REF!</v>
      </c>
      <c r="N28" s="60" t="str">
        <f t="shared" si="42"/>
        <v>#REF!</v>
      </c>
      <c r="O28" s="60" t="str">
        <f t="shared" si="42"/>
        <v>#REF!</v>
      </c>
      <c r="P28" s="60" t="str">
        <f t="shared" si="42"/>
        <v>#REF!</v>
      </c>
      <c r="Q28" s="60" t="str">
        <f t="shared" si="42"/>
        <v>#REF!</v>
      </c>
      <c r="R28" s="60" t="str">
        <f t="shared" si="42"/>
        <v>#REF!</v>
      </c>
      <c r="S28" s="60" t="str">
        <f t="shared" si="42"/>
        <v>#REF!</v>
      </c>
      <c r="T28" s="60" t="str">
        <f t="shared" si="42"/>
        <v>#REF!</v>
      </c>
      <c r="U28" s="60" t="str">
        <f t="shared" si="42"/>
        <v>#REF!</v>
      </c>
      <c r="V28" s="60" t="str">
        <f t="shared" si="42"/>
        <v>#REF!</v>
      </c>
      <c r="W28" s="60" t="str">
        <f t="shared" si="42"/>
        <v>#REF!</v>
      </c>
      <c r="X28" s="60" t="str">
        <f t="shared" si="42"/>
        <v>#REF!</v>
      </c>
      <c r="Y28" s="60" t="str">
        <f t="shared" si="42"/>
        <v>#REF!</v>
      </c>
      <c r="Z28" s="60" t="str">
        <f t="shared" si="42"/>
        <v>#REF!</v>
      </c>
    </row>
    <row r="29" ht="14.25" customHeight="1">
      <c r="A29" s="65">
        <f t="shared" si="34"/>
        <v>90</v>
      </c>
      <c r="B29" s="60" t="str">
        <f t="shared" ref="B29:Z29" si="43">RANK(B13,$B13:$Z13)</f>
        <v>#REF!</v>
      </c>
      <c r="C29" s="60" t="str">
        <f t="shared" si="43"/>
        <v>#REF!</v>
      </c>
      <c r="D29" s="60" t="str">
        <f t="shared" si="43"/>
        <v>#REF!</v>
      </c>
      <c r="E29" s="60" t="str">
        <f t="shared" si="43"/>
        <v>#REF!</v>
      </c>
      <c r="F29" s="60" t="str">
        <f t="shared" si="43"/>
        <v>#REF!</v>
      </c>
      <c r="G29" s="60" t="str">
        <f t="shared" si="43"/>
        <v>#REF!</v>
      </c>
      <c r="H29" s="60" t="str">
        <f t="shared" si="43"/>
        <v>#REF!</v>
      </c>
      <c r="I29" s="60" t="str">
        <f t="shared" si="43"/>
        <v>#REF!</v>
      </c>
      <c r="J29" s="60" t="str">
        <f t="shared" si="43"/>
        <v>#REF!</v>
      </c>
      <c r="K29" s="60" t="str">
        <f t="shared" si="43"/>
        <v>#REF!</v>
      </c>
      <c r="L29" s="60" t="str">
        <f t="shared" si="43"/>
        <v>#REF!</v>
      </c>
      <c r="M29" s="60" t="str">
        <f t="shared" si="43"/>
        <v>#REF!</v>
      </c>
      <c r="N29" s="60" t="str">
        <f t="shared" si="43"/>
        <v>#REF!</v>
      </c>
      <c r="O29" s="60" t="str">
        <f t="shared" si="43"/>
        <v>#REF!</v>
      </c>
      <c r="P29" s="60" t="str">
        <f t="shared" si="43"/>
        <v>#REF!</v>
      </c>
      <c r="Q29" s="60" t="str">
        <f t="shared" si="43"/>
        <v>#REF!</v>
      </c>
      <c r="R29" s="60" t="str">
        <f t="shared" si="43"/>
        <v>#REF!</v>
      </c>
      <c r="S29" s="60" t="str">
        <f t="shared" si="43"/>
        <v>#REF!</v>
      </c>
      <c r="T29" s="60" t="str">
        <f t="shared" si="43"/>
        <v>#REF!</v>
      </c>
      <c r="U29" s="60" t="str">
        <f t="shared" si="43"/>
        <v>#REF!</v>
      </c>
      <c r="V29" s="60" t="str">
        <f t="shared" si="43"/>
        <v>#REF!</v>
      </c>
      <c r="W29" s="60" t="str">
        <f t="shared" si="43"/>
        <v>#REF!</v>
      </c>
      <c r="X29" s="60" t="str">
        <f t="shared" si="43"/>
        <v>#REF!</v>
      </c>
      <c r="Y29" s="60" t="str">
        <f t="shared" si="43"/>
        <v>#REF!</v>
      </c>
      <c r="Z29" s="60" t="str">
        <f t="shared" si="43"/>
        <v>#REF!</v>
      </c>
    </row>
    <row r="30" ht="14.25" customHeight="1">
      <c r="A30" s="65">
        <f t="shared" si="34"/>
        <v>100</v>
      </c>
      <c r="B30" s="60" t="str">
        <f t="shared" ref="B30:Z30" si="44">RANK(B14,$B14:$Z14)</f>
        <v>#REF!</v>
      </c>
      <c r="C30" s="60" t="str">
        <f t="shared" si="44"/>
        <v>#REF!</v>
      </c>
      <c r="D30" s="60" t="str">
        <f t="shared" si="44"/>
        <v>#REF!</v>
      </c>
      <c r="E30" s="60" t="str">
        <f t="shared" si="44"/>
        <v>#REF!</v>
      </c>
      <c r="F30" s="60" t="str">
        <f t="shared" si="44"/>
        <v>#REF!</v>
      </c>
      <c r="G30" s="60" t="str">
        <f t="shared" si="44"/>
        <v>#REF!</v>
      </c>
      <c r="H30" s="60" t="str">
        <f t="shared" si="44"/>
        <v>#REF!</v>
      </c>
      <c r="I30" s="60" t="str">
        <f t="shared" si="44"/>
        <v>#REF!</v>
      </c>
      <c r="J30" s="60" t="str">
        <f t="shared" si="44"/>
        <v>#REF!</v>
      </c>
      <c r="K30" s="60" t="str">
        <f t="shared" si="44"/>
        <v>#REF!</v>
      </c>
      <c r="L30" s="60" t="str">
        <f t="shared" si="44"/>
        <v>#REF!</v>
      </c>
      <c r="M30" s="60" t="str">
        <f t="shared" si="44"/>
        <v>#REF!</v>
      </c>
      <c r="N30" s="60" t="str">
        <f t="shared" si="44"/>
        <v>#REF!</v>
      </c>
      <c r="O30" s="60" t="str">
        <f t="shared" si="44"/>
        <v>#REF!</v>
      </c>
      <c r="P30" s="60" t="str">
        <f t="shared" si="44"/>
        <v>#REF!</v>
      </c>
      <c r="Q30" s="60" t="str">
        <f t="shared" si="44"/>
        <v>#REF!</v>
      </c>
      <c r="R30" s="60" t="str">
        <f t="shared" si="44"/>
        <v>#REF!</v>
      </c>
      <c r="S30" s="60" t="str">
        <f t="shared" si="44"/>
        <v>#REF!</v>
      </c>
      <c r="T30" s="60" t="str">
        <f t="shared" si="44"/>
        <v>#REF!</v>
      </c>
      <c r="U30" s="60" t="str">
        <f t="shared" si="44"/>
        <v>#REF!</v>
      </c>
      <c r="V30" s="60" t="str">
        <f t="shared" si="44"/>
        <v>#REF!</v>
      </c>
      <c r="W30" s="60" t="str">
        <f t="shared" si="44"/>
        <v>#REF!</v>
      </c>
      <c r="X30" s="60" t="str">
        <f t="shared" si="44"/>
        <v>#REF!</v>
      </c>
      <c r="Y30" s="60" t="str">
        <f t="shared" si="44"/>
        <v>#REF!</v>
      </c>
      <c r="Z30" s="60" t="str">
        <f t="shared" si="44"/>
        <v>#REF!</v>
      </c>
    </row>
    <row r="31" ht="14.25" customHeight="1">
      <c r="A31" s="28" t="s">
        <v>47</v>
      </c>
      <c r="B31" s="69" t="str">
        <f t="shared" ref="B31:Z31" si="45">SUMPRODUCT( (B20:B30&lt;&gt;"") / COUNTIF(B20:B30,B20:B30&amp;"")) - 1</f>
        <v>#REF!</v>
      </c>
      <c r="C31" s="69" t="str">
        <f t="shared" si="45"/>
        <v>#REF!</v>
      </c>
      <c r="D31" s="69" t="str">
        <f t="shared" si="45"/>
        <v>#REF!</v>
      </c>
      <c r="E31" s="69" t="str">
        <f t="shared" si="45"/>
        <v>#REF!</v>
      </c>
      <c r="F31" s="69" t="str">
        <f t="shared" si="45"/>
        <v>#REF!</v>
      </c>
      <c r="G31" s="69" t="str">
        <f t="shared" si="45"/>
        <v>#REF!</v>
      </c>
      <c r="H31" s="69" t="str">
        <f t="shared" si="45"/>
        <v>#REF!</v>
      </c>
      <c r="I31" s="69" t="str">
        <f t="shared" si="45"/>
        <v>#REF!</v>
      </c>
      <c r="J31" s="69" t="str">
        <f t="shared" si="45"/>
        <v>#REF!</v>
      </c>
      <c r="K31" s="69" t="str">
        <f t="shared" si="45"/>
        <v>#REF!</v>
      </c>
      <c r="L31" s="69" t="str">
        <f t="shared" si="45"/>
        <v>#REF!</v>
      </c>
      <c r="M31" s="69" t="str">
        <f t="shared" si="45"/>
        <v>#REF!</v>
      </c>
      <c r="N31" s="69" t="str">
        <f t="shared" si="45"/>
        <v>#REF!</v>
      </c>
      <c r="O31" s="69" t="str">
        <f t="shared" si="45"/>
        <v>#REF!</v>
      </c>
      <c r="P31" s="69" t="str">
        <f t="shared" si="45"/>
        <v>#REF!</v>
      </c>
      <c r="Q31" s="69" t="str">
        <f t="shared" si="45"/>
        <v>#REF!</v>
      </c>
      <c r="R31" s="69" t="str">
        <f t="shared" si="45"/>
        <v>#REF!</v>
      </c>
      <c r="S31" s="69" t="str">
        <f t="shared" si="45"/>
        <v>#REF!</v>
      </c>
      <c r="T31" s="69" t="str">
        <f t="shared" si="45"/>
        <v>#REF!</v>
      </c>
      <c r="U31" s="69" t="str">
        <f t="shared" si="45"/>
        <v>#REF!</v>
      </c>
      <c r="V31" s="69" t="str">
        <f t="shared" si="45"/>
        <v>#REF!</v>
      </c>
      <c r="W31" s="69" t="str">
        <f t="shared" si="45"/>
        <v>#REF!</v>
      </c>
      <c r="X31" s="69" t="str">
        <f t="shared" si="45"/>
        <v>#REF!</v>
      </c>
      <c r="Y31" s="69" t="str">
        <f t="shared" si="45"/>
        <v>#REF!</v>
      </c>
      <c r="Z31" s="69" t="str">
        <f t="shared" si="45"/>
        <v>#REF!</v>
      </c>
    </row>
    <row r="32" ht="14.25" customHeight="1">
      <c r="A32" s="40"/>
    </row>
    <row r="33" ht="14.25" customHeight="1">
      <c r="A33" s="40"/>
    </row>
    <row r="34" ht="14.25" customHeight="1">
      <c r="A34" s="40"/>
    </row>
    <row r="35" ht="14.25" customHeight="1">
      <c r="A35" s="40"/>
      <c r="D35" s="5" t="s">
        <v>48</v>
      </c>
      <c r="E35" s="6"/>
      <c r="F35" s="7"/>
    </row>
    <row r="36" ht="14.25" customHeight="1">
      <c r="A36" s="40"/>
      <c r="D36" s="9"/>
      <c r="F36" s="10"/>
    </row>
    <row r="37" ht="14.25" customHeight="1">
      <c r="A37" s="40"/>
      <c r="D37" s="9"/>
      <c r="F37" s="10"/>
    </row>
    <row r="38" ht="14.25" customHeight="1">
      <c r="A38" s="40"/>
      <c r="D38" s="9"/>
      <c r="F38" s="10"/>
    </row>
    <row r="39" ht="14.25" customHeight="1">
      <c r="A39" s="40"/>
      <c r="D39" s="9"/>
      <c r="F39" s="10"/>
    </row>
    <row r="40" ht="14.25" customHeight="1">
      <c r="A40" s="40"/>
      <c r="D40" s="9"/>
      <c r="F40" s="10"/>
    </row>
    <row r="41" ht="14.25" customHeight="1">
      <c r="A41" s="40"/>
      <c r="D41" s="9"/>
      <c r="F41" s="10"/>
    </row>
    <row r="42" ht="14.25" customHeight="1">
      <c r="A42" s="40"/>
      <c r="D42" s="11"/>
      <c r="E42" s="12"/>
      <c r="F42" s="13"/>
    </row>
    <row r="43" ht="14.25" customHeight="1">
      <c r="A43" s="40"/>
    </row>
    <row r="44" ht="14.25" customHeight="1">
      <c r="A44" s="40"/>
    </row>
    <row r="45" ht="14.25" customHeight="1">
      <c r="A45" s="40"/>
    </row>
    <row r="46" ht="14.25" customHeight="1">
      <c r="A46" s="40"/>
    </row>
    <row r="47" ht="14.25" customHeight="1">
      <c r="A47" s="40"/>
    </row>
    <row r="48" ht="14.25" customHeight="1">
      <c r="A48" s="40"/>
    </row>
    <row r="49" ht="14.25" customHeight="1">
      <c r="A49" s="40"/>
    </row>
    <row r="50" ht="14.25" customHeight="1">
      <c r="A50" s="40"/>
    </row>
    <row r="51" ht="14.25" customHeight="1">
      <c r="A51" s="40"/>
    </row>
    <row r="52" ht="14.25" customHeight="1">
      <c r="A52" s="40"/>
    </row>
    <row r="53" ht="14.25" customHeight="1">
      <c r="A53" s="40"/>
    </row>
    <row r="54" ht="14.25" customHeight="1">
      <c r="A54" s="40"/>
    </row>
    <row r="55" ht="14.25" customHeight="1">
      <c r="A55" s="40"/>
    </row>
    <row r="56" ht="14.25" customHeight="1">
      <c r="A56" s="40"/>
    </row>
    <row r="57" ht="14.25" customHeight="1">
      <c r="A57" s="40"/>
    </row>
    <row r="58" ht="14.25" customHeight="1">
      <c r="A58" s="40"/>
    </row>
    <row r="59" ht="14.25" customHeight="1">
      <c r="A59" s="40"/>
    </row>
    <row r="60" ht="14.25" customHeight="1">
      <c r="A60" s="40"/>
    </row>
    <row r="61" ht="14.25" customHeight="1">
      <c r="A61" s="40"/>
    </row>
    <row r="62" ht="14.25" customHeight="1">
      <c r="A62" s="40"/>
    </row>
    <row r="63" ht="14.25" customHeight="1">
      <c r="A63" s="40"/>
    </row>
    <row r="64" ht="14.25" customHeight="1">
      <c r="A64" s="40"/>
    </row>
    <row r="65" ht="14.25" customHeight="1">
      <c r="A65" s="40"/>
    </row>
    <row r="66" ht="14.25" customHeight="1">
      <c r="A66" s="40"/>
    </row>
    <row r="67" ht="14.25" customHeight="1">
      <c r="A67" s="40"/>
    </row>
    <row r="68" ht="14.25" customHeight="1">
      <c r="A68" s="40"/>
    </row>
    <row r="69" ht="14.25" customHeight="1">
      <c r="A69" s="40"/>
    </row>
    <row r="70" ht="14.25" customHeight="1">
      <c r="A70" s="40"/>
    </row>
    <row r="71" ht="14.25" customHeight="1">
      <c r="A71" s="40"/>
    </row>
    <row r="72" ht="14.25" customHeight="1">
      <c r="A72" s="40"/>
    </row>
    <row r="73" ht="14.25" customHeight="1">
      <c r="A73" s="40"/>
    </row>
    <row r="74" ht="14.25" customHeight="1">
      <c r="A74" s="40"/>
    </row>
    <row r="75" ht="14.25" customHeight="1">
      <c r="A75" s="40"/>
    </row>
    <row r="76" ht="14.25" customHeight="1">
      <c r="A76" s="40"/>
    </row>
    <row r="77" ht="14.25" customHeight="1">
      <c r="A77" s="40"/>
    </row>
    <row r="78" ht="14.25" customHeight="1">
      <c r="A78" s="40"/>
    </row>
    <row r="79" ht="14.25" customHeight="1">
      <c r="A79" s="40"/>
    </row>
    <row r="80" ht="14.25" customHeight="1">
      <c r="A80" s="40"/>
    </row>
    <row r="81" ht="14.25" customHeight="1">
      <c r="A81" s="40"/>
    </row>
    <row r="82" ht="14.25" customHeight="1">
      <c r="A82" s="40"/>
    </row>
    <row r="83" ht="14.25" customHeight="1">
      <c r="A83" s="40"/>
    </row>
    <row r="84" ht="14.25" customHeight="1">
      <c r="A84" s="40"/>
    </row>
    <row r="85" ht="14.25" customHeight="1">
      <c r="A85" s="40"/>
    </row>
    <row r="86" ht="14.25" customHeight="1">
      <c r="A86" s="40"/>
    </row>
    <row r="87" ht="14.25" customHeight="1">
      <c r="A87" s="40"/>
    </row>
    <row r="88" ht="14.25" customHeight="1">
      <c r="A88" s="40"/>
    </row>
    <row r="89" ht="14.25" customHeight="1">
      <c r="A89" s="40"/>
    </row>
    <row r="90" ht="14.25" customHeight="1">
      <c r="A90" s="40"/>
    </row>
    <row r="91" ht="14.25" customHeight="1">
      <c r="A91" s="40"/>
    </row>
    <row r="92" ht="14.25" customHeight="1">
      <c r="A92" s="40"/>
    </row>
    <row r="93" ht="14.25" customHeight="1">
      <c r="A93" s="40"/>
    </row>
    <row r="94" ht="14.25" customHeight="1">
      <c r="A94" s="40"/>
    </row>
    <row r="95" ht="14.25" customHeight="1">
      <c r="A95" s="40"/>
    </row>
    <row r="96" ht="14.25" customHeight="1">
      <c r="A96" s="40"/>
    </row>
    <row r="97" ht="14.25" customHeight="1">
      <c r="A97" s="40"/>
    </row>
    <row r="98" ht="14.25" customHeight="1">
      <c r="A98" s="40"/>
    </row>
    <row r="99" ht="14.25" customHeight="1">
      <c r="A99" s="40"/>
    </row>
    <row r="100" ht="14.25" customHeight="1">
      <c r="A100" s="40"/>
    </row>
    <row r="101" ht="14.25" customHeight="1">
      <c r="A101" s="40"/>
    </row>
    <row r="102" ht="14.25" customHeight="1">
      <c r="A102" s="40"/>
    </row>
    <row r="103" ht="14.25" customHeight="1">
      <c r="A103" s="40"/>
    </row>
    <row r="104" ht="14.25" customHeight="1">
      <c r="A104" s="40"/>
    </row>
    <row r="105" ht="14.25" customHeight="1">
      <c r="A105" s="40"/>
    </row>
    <row r="106" ht="14.25" customHeight="1">
      <c r="A106" s="40"/>
    </row>
    <row r="107" ht="14.25" customHeight="1">
      <c r="A107" s="40"/>
    </row>
    <row r="108" ht="14.25" customHeight="1">
      <c r="A108" s="40"/>
    </row>
    <row r="109" ht="14.25" customHeight="1">
      <c r="A109" s="40"/>
    </row>
    <row r="110" ht="14.25" customHeight="1">
      <c r="A110" s="40"/>
    </row>
    <row r="111" ht="14.25" customHeight="1">
      <c r="A111" s="40"/>
    </row>
    <row r="112" ht="14.25" customHeight="1">
      <c r="A112" s="40"/>
    </row>
    <row r="113" ht="14.25" customHeight="1">
      <c r="A113" s="40"/>
    </row>
    <row r="114" ht="14.25" customHeight="1">
      <c r="A114" s="40"/>
    </row>
    <row r="115" ht="14.25" customHeight="1">
      <c r="A115" s="40"/>
    </row>
    <row r="116" ht="14.25" customHeight="1">
      <c r="A116" s="40"/>
    </row>
    <row r="117" ht="14.25" customHeight="1">
      <c r="A117" s="40"/>
    </row>
    <row r="118" ht="14.25" customHeight="1">
      <c r="A118" s="40"/>
    </row>
    <row r="119" ht="14.25" customHeight="1">
      <c r="A119" s="40"/>
    </row>
    <row r="120" ht="14.25" customHeight="1">
      <c r="A120" s="40"/>
    </row>
    <row r="121" ht="14.25" customHeight="1">
      <c r="A121" s="40"/>
    </row>
    <row r="122" ht="14.25" customHeight="1">
      <c r="A122" s="40"/>
    </row>
    <row r="123" ht="14.25" customHeight="1">
      <c r="A123" s="40"/>
    </row>
    <row r="124" ht="14.25" customHeight="1">
      <c r="A124" s="40"/>
    </row>
    <row r="125" ht="14.25" customHeight="1">
      <c r="A125" s="40"/>
    </row>
    <row r="126" ht="14.25" customHeight="1">
      <c r="A126" s="40"/>
    </row>
    <row r="127" ht="14.25" customHeight="1">
      <c r="A127" s="40"/>
    </row>
    <row r="128" ht="14.25" customHeight="1">
      <c r="A128" s="40"/>
    </row>
    <row r="129" ht="14.25" customHeight="1">
      <c r="A129" s="40"/>
    </row>
    <row r="130" ht="14.25" customHeight="1">
      <c r="A130" s="40"/>
    </row>
    <row r="131" ht="14.25" customHeight="1">
      <c r="A131" s="40"/>
    </row>
    <row r="132" ht="14.25" customHeight="1">
      <c r="A132" s="40"/>
    </row>
    <row r="133" ht="14.25" customHeight="1">
      <c r="A133" s="40"/>
    </row>
    <row r="134" ht="14.25" customHeight="1">
      <c r="A134" s="40"/>
    </row>
    <row r="135" ht="14.25" customHeight="1">
      <c r="A135" s="40"/>
    </row>
    <row r="136" ht="14.25" customHeight="1">
      <c r="A136" s="40"/>
    </row>
    <row r="137" ht="14.25" customHeight="1">
      <c r="A137" s="40"/>
    </row>
    <row r="138" ht="14.25" customHeight="1">
      <c r="A138" s="40"/>
    </row>
    <row r="139" ht="14.25" customHeight="1">
      <c r="A139" s="40"/>
    </row>
    <row r="140" ht="14.25" customHeight="1">
      <c r="A140" s="40"/>
    </row>
    <row r="141" ht="14.25" customHeight="1">
      <c r="A141" s="40"/>
    </row>
    <row r="142" ht="14.25" customHeight="1">
      <c r="A142" s="40"/>
    </row>
    <row r="143" ht="14.25" customHeight="1">
      <c r="A143" s="40"/>
    </row>
    <row r="144" ht="14.25" customHeight="1">
      <c r="A144" s="40"/>
    </row>
    <row r="145" ht="14.25" customHeight="1">
      <c r="A145" s="40"/>
    </row>
    <row r="146" ht="14.25" customHeight="1">
      <c r="A146" s="40"/>
    </row>
    <row r="147" ht="14.25" customHeight="1">
      <c r="A147" s="40"/>
    </row>
    <row r="148" ht="14.25" customHeight="1">
      <c r="A148" s="40"/>
    </row>
    <row r="149" ht="14.25" customHeight="1">
      <c r="A149" s="40"/>
    </row>
    <row r="150" ht="14.25" customHeight="1">
      <c r="A150" s="40"/>
    </row>
    <row r="151" ht="14.25" customHeight="1">
      <c r="A151" s="40"/>
    </row>
    <row r="152" ht="14.25" customHeight="1">
      <c r="A152" s="40"/>
    </row>
    <row r="153" ht="14.25" customHeight="1">
      <c r="A153" s="40"/>
    </row>
    <row r="154" ht="14.25" customHeight="1">
      <c r="A154" s="40"/>
    </row>
    <row r="155" ht="14.25" customHeight="1">
      <c r="A155" s="40"/>
    </row>
    <row r="156" ht="14.25" customHeight="1">
      <c r="A156" s="40"/>
    </row>
    <row r="157" ht="14.25" customHeight="1">
      <c r="A157" s="40"/>
    </row>
    <row r="158" ht="14.25" customHeight="1">
      <c r="A158" s="40"/>
    </row>
    <row r="159" ht="14.25" customHeight="1">
      <c r="A159" s="40"/>
    </row>
    <row r="160" ht="14.25" customHeight="1">
      <c r="A160" s="40"/>
    </row>
    <row r="161" ht="14.25" customHeight="1">
      <c r="A161" s="40"/>
    </row>
    <row r="162" ht="14.25" customHeight="1">
      <c r="A162" s="40"/>
    </row>
    <row r="163" ht="14.25" customHeight="1">
      <c r="A163" s="40"/>
    </row>
    <row r="164" ht="14.25" customHeight="1">
      <c r="A164" s="40"/>
    </row>
    <row r="165" ht="14.25" customHeight="1">
      <c r="A165" s="40"/>
    </row>
    <row r="166" ht="14.25" customHeight="1">
      <c r="A166" s="40"/>
    </row>
    <row r="167" ht="14.25" customHeight="1">
      <c r="A167" s="40"/>
    </row>
    <row r="168" ht="14.25" customHeight="1">
      <c r="A168" s="40"/>
    </row>
    <row r="169" ht="14.25" customHeight="1">
      <c r="A169" s="40"/>
    </row>
    <row r="170" ht="14.25" customHeight="1">
      <c r="A170" s="40"/>
    </row>
    <row r="171" ht="14.25" customHeight="1">
      <c r="A171" s="40"/>
    </row>
    <row r="172" ht="14.25" customHeight="1">
      <c r="A172" s="40"/>
    </row>
    <row r="173" ht="14.25" customHeight="1">
      <c r="A173" s="40"/>
    </row>
    <row r="174" ht="14.25" customHeight="1">
      <c r="A174" s="40"/>
    </row>
    <row r="175" ht="14.25" customHeight="1">
      <c r="A175" s="40"/>
    </row>
    <row r="176" ht="14.25" customHeight="1">
      <c r="A176" s="40"/>
    </row>
    <row r="177" ht="14.25" customHeight="1">
      <c r="A177" s="40"/>
    </row>
    <row r="178" ht="14.25" customHeight="1">
      <c r="A178" s="40"/>
    </row>
    <row r="179" ht="14.25" customHeight="1">
      <c r="A179" s="40"/>
    </row>
    <row r="180" ht="14.25" customHeight="1">
      <c r="A180" s="40"/>
    </row>
    <row r="181" ht="14.25" customHeight="1">
      <c r="A181" s="40"/>
    </row>
    <row r="182" ht="14.25" customHeight="1">
      <c r="A182" s="40"/>
    </row>
    <row r="183" ht="14.25" customHeight="1">
      <c r="A183" s="40"/>
    </row>
    <row r="184" ht="14.25" customHeight="1">
      <c r="A184" s="40"/>
    </row>
    <row r="185" ht="14.25" customHeight="1">
      <c r="A185" s="40"/>
    </row>
    <row r="186" ht="14.25" customHeight="1">
      <c r="A186" s="40"/>
    </row>
    <row r="187" ht="14.25" customHeight="1">
      <c r="A187" s="40"/>
    </row>
    <row r="188" ht="14.25" customHeight="1">
      <c r="A188" s="40"/>
    </row>
    <row r="189" ht="14.25" customHeight="1">
      <c r="A189" s="40"/>
    </row>
    <row r="190" ht="14.25" customHeight="1">
      <c r="A190" s="40"/>
    </row>
    <row r="191" ht="14.25" customHeight="1">
      <c r="A191" s="40"/>
    </row>
    <row r="192" ht="14.25" customHeight="1">
      <c r="A192" s="40"/>
    </row>
    <row r="193" ht="14.25" customHeight="1">
      <c r="A193" s="40"/>
    </row>
    <row r="194" ht="14.25" customHeight="1">
      <c r="A194" s="40"/>
    </row>
    <row r="195" ht="14.25" customHeight="1">
      <c r="A195" s="40"/>
    </row>
    <row r="196" ht="14.25" customHeight="1">
      <c r="A196" s="40"/>
    </row>
    <row r="197" ht="14.25" customHeight="1">
      <c r="A197" s="40"/>
    </row>
    <row r="198" ht="14.25" customHeight="1">
      <c r="A198" s="40"/>
    </row>
    <row r="199" ht="14.25" customHeight="1">
      <c r="A199" s="40"/>
    </row>
    <row r="200" ht="14.25" customHeight="1">
      <c r="A200" s="40"/>
    </row>
    <row r="201" ht="14.25" customHeight="1">
      <c r="A201" s="40"/>
    </row>
    <row r="202" ht="14.25" customHeight="1">
      <c r="A202" s="40"/>
    </row>
    <row r="203" ht="14.25" customHeight="1">
      <c r="A203" s="40"/>
    </row>
    <row r="204" ht="14.25" customHeight="1">
      <c r="A204" s="40"/>
    </row>
    <row r="205" ht="14.25" customHeight="1">
      <c r="A205" s="40"/>
    </row>
    <row r="206" ht="14.25" customHeight="1">
      <c r="A206" s="40"/>
    </row>
    <row r="207" ht="14.25" customHeight="1">
      <c r="A207" s="40"/>
    </row>
    <row r="208" ht="14.25" customHeight="1">
      <c r="A208" s="40"/>
    </row>
    <row r="209" ht="14.25" customHeight="1">
      <c r="A209" s="40"/>
    </row>
    <row r="210" ht="14.25" customHeight="1">
      <c r="A210" s="40"/>
    </row>
    <row r="211" ht="14.25" customHeight="1">
      <c r="A211" s="40"/>
    </row>
    <row r="212" ht="14.25" customHeight="1">
      <c r="A212" s="40"/>
    </row>
    <row r="213" ht="14.25" customHeight="1">
      <c r="A213" s="40"/>
    </row>
    <row r="214" ht="14.25" customHeight="1">
      <c r="A214" s="40"/>
    </row>
    <row r="215" ht="14.25" customHeight="1">
      <c r="A215" s="40"/>
    </row>
    <row r="216" ht="14.25" customHeight="1">
      <c r="A216" s="40"/>
    </row>
    <row r="217" ht="14.25" customHeight="1">
      <c r="A217" s="40"/>
    </row>
    <row r="218" ht="14.25" customHeight="1">
      <c r="A218" s="40"/>
    </row>
    <row r="219" ht="14.25" customHeight="1">
      <c r="A219" s="40"/>
    </row>
    <row r="220" ht="14.25" customHeight="1">
      <c r="A220" s="40"/>
    </row>
    <row r="221" ht="14.25" customHeight="1">
      <c r="A221" s="40"/>
    </row>
    <row r="222" ht="14.25" customHeight="1">
      <c r="A222" s="40"/>
    </row>
    <row r="223" ht="14.25" customHeight="1">
      <c r="A223" s="40"/>
    </row>
    <row r="224" ht="14.25" customHeight="1">
      <c r="A224" s="40"/>
    </row>
    <row r="225" ht="14.25" customHeight="1">
      <c r="A225" s="40"/>
    </row>
    <row r="226" ht="14.25" customHeight="1">
      <c r="A226" s="40"/>
    </row>
    <row r="227" ht="14.25" customHeight="1">
      <c r="A227" s="40"/>
    </row>
    <row r="228" ht="14.25" customHeight="1">
      <c r="A228" s="40"/>
    </row>
    <row r="229" ht="14.25" customHeight="1">
      <c r="A229" s="40"/>
    </row>
    <row r="230" ht="14.25" customHeight="1">
      <c r="A230" s="40"/>
    </row>
    <row r="231" ht="14.25" customHeight="1">
      <c r="A231" s="40"/>
    </row>
    <row r="232" ht="14.25" customHeight="1">
      <c r="A232" s="40"/>
    </row>
    <row r="233" ht="14.25" customHeight="1">
      <c r="A233" s="40"/>
    </row>
    <row r="234" ht="14.25" customHeight="1">
      <c r="A234" s="40"/>
    </row>
    <row r="235" ht="14.25" customHeight="1">
      <c r="A235" s="40"/>
    </row>
    <row r="236" ht="14.25" customHeight="1">
      <c r="A236" s="40"/>
    </row>
    <row r="237" ht="14.25" customHeight="1">
      <c r="A237" s="40"/>
    </row>
    <row r="238" ht="14.25" customHeight="1">
      <c r="A238" s="40"/>
    </row>
    <row r="239" ht="14.25" customHeight="1">
      <c r="A239" s="40"/>
    </row>
    <row r="240" ht="14.25" customHeight="1">
      <c r="A240" s="40"/>
    </row>
    <row r="241" ht="14.25" customHeight="1">
      <c r="A241" s="40"/>
    </row>
    <row r="242" ht="14.25" customHeight="1">
      <c r="A242" s="40"/>
    </row>
    <row r="243" ht="14.25" customHeight="1">
      <c r="A243" s="40"/>
    </row>
    <row r="244" ht="14.25" customHeight="1">
      <c r="A244" s="40"/>
    </row>
    <row r="245" ht="14.25" customHeight="1">
      <c r="A245" s="40"/>
    </row>
    <row r="246" ht="14.25" customHeight="1">
      <c r="A246" s="40"/>
    </row>
    <row r="247" ht="14.25" customHeight="1">
      <c r="A247" s="40"/>
    </row>
    <row r="248" ht="14.25" customHeight="1">
      <c r="A248" s="40"/>
    </row>
    <row r="249" ht="14.25" customHeight="1">
      <c r="A249" s="40"/>
    </row>
    <row r="250" ht="14.25" customHeight="1">
      <c r="A250" s="40"/>
    </row>
    <row r="251" ht="14.25" customHeight="1">
      <c r="A251" s="40"/>
    </row>
    <row r="252" ht="14.25" customHeight="1">
      <c r="A252" s="40"/>
    </row>
    <row r="253" ht="14.25" customHeight="1">
      <c r="A253" s="40"/>
    </row>
    <row r="254" ht="14.25" customHeight="1">
      <c r="A254" s="40"/>
    </row>
    <row r="255" ht="14.25" customHeight="1">
      <c r="A255" s="40"/>
    </row>
    <row r="256" ht="14.25" customHeight="1">
      <c r="A256" s="40"/>
    </row>
    <row r="257" ht="14.25" customHeight="1">
      <c r="A257" s="40"/>
    </row>
    <row r="258" ht="14.25" customHeight="1">
      <c r="A258" s="40"/>
    </row>
    <row r="259" ht="14.25" customHeight="1">
      <c r="A259" s="40"/>
    </row>
    <row r="260" ht="14.25" customHeight="1">
      <c r="A260" s="40"/>
    </row>
    <row r="261" ht="14.25" customHeight="1">
      <c r="A261" s="40"/>
    </row>
    <row r="262" ht="14.25" customHeight="1">
      <c r="A262" s="40"/>
    </row>
    <row r="263" ht="14.25" customHeight="1">
      <c r="A263" s="40"/>
    </row>
    <row r="264" ht="14.25" customHeight="1">
      <c r="A264" s="40"/>
    </row>
    <row r="265" ht="14.25" customHeight="1">
      <c r="A265" s="40"/>
    </row>
    <row r="266" ht="14.25" customHeight="1">
      <c r="A266" s="40"/>
    </row>
    <row r="267" ht="14.25" customHeight="1">
      <c r="A267" s="40"/>
    </row>
    <row r="268" ht="14.25" customHeight="1">
      <c r="A268" s="40"/>
    </row>
    <row r="269" ht="14.25" customHeight="1">
      <c r="A269" s="40"/>
    </row>
    <row r="270" ht="14.25" customHeight="1">
      <c r="A270" s="40"/>
    </row>
    <row r="271" ht="14.25" customHeight="1">
      <c r="A271" s="40"/>
    </row>
    <row r="272" ht="14.25" customHeight="1">
      <c r="A272" s="40"/>
    </row>
    <row r="273" ht="14.25" customHeight="1">
      <c r="A273" s="40"/>
    </row>
    <row r="274" ht="14.25" customHeight="1">
      <c r="A274" s="40"/>
    </row>
    <row r="275" ht="14.25" customHeight="1">
      <c r="A275" s="40"/>
    </row>
    <row r="276" ht="14.25" customHeight="1">
      <c r="A276" s="40"/>
    </row>
    <row r="277" ht="14.25" customHeight="1">
      <c r="A277" s="40"/>
    </row>
    <row r="278" ht="14.25" customHeight="1">
      <c r="A278" s="40"/>
    </row>
    <row r="279" ht="14.25" customHeight="1">
      <c r="A279" s="40"/>
    </row>
    <row r="280" ht="14.25" customHeight="1">
      <c r="A280" s="40"/>
    </row>
    <row r="281" ht="14.25" customHeight="1">
      <c r="A281" s="40"/>
    </row>
    <row r="282" ht="14.25" customHeight="1">
      <c r="A282" s="40"/>
    </row>
    <row r="283" ht="14.25" customHeight="1">
      <c r="A283" s="40"/>
    </row>
    <row r="284" ht="14.25" customHeight="1">
      <c r="A284" s="40"/>
    </row>
    <row r="285" ht="14.25" customHeight="1">
      <c r="A285" s="40"/>
    </row>
    <row r="286" ht="14.25" customHeight="1">
      <c r="A286" s="40"/>
    </row>
    <row r="287" ht="14.25" customHeight="1">
      <c r="A287" s="40"/>
    </row>
    <row r="288" ht="14.25" customHeight="1">
      <c r="A288" s="40"/>
    </row>
    <row r="289" ht="14.25" customHeight="1">
      <c r="A289" s="40"/>
    </row>
    <row r="290" ht="14.25" customHeight="1">
      <c r="A290" s="40"/>
    </row>
    <row r="291" ht="14.25" customHeight="1">
      <c r="A291" s="40"/>
    </row>
    <row r="292" ht="14.25" customHeight="1">
      <c r="A292" s="40"/>
    </row>
    <row r="293" ht="14.25" customHeight="1">
      <c r="A293" s="40"/>
    </row>
    <row r="294" ht="14.25" customHeight="1">
      <c r="A294" s="40"/>
    </row>
    <row r="295" ht="14.25" customHeight="1">
      <c r="A295" s="40"/>
    </row>
    <row r="296" ht="14.25" customHeight="1">
      <c r="A296" s="40"/>
    </row>
    <row r="297" ht="14.25" customHeight="1">
      <c r="A297" s="40"/>
    </row>
    <row r="298" ht="14.25" customHeight="1">
      <c r="A298" s="40"/>
    </row>
    <row r="299" ht="14.25" customHeight="1">
      <c r="A299" s="40"/>
    </row>
    <row r="300" ht="14.25" customHeight="1">
      <c r="A300" s="40"/>
    </row>
    <row r="301" ht="14.25" customHeight="1">
      <c r="A301" s="40"/>
    </row>
    <row r="302" ht="14.25" customHeight="1">
      <c r="A302" s="40"/>
    </row>
    <row r="303" ht="14.25" customHeight="1">
      <c r="A303" s="40"/>
    </row>
    <row r="304" ht="14.25" customHeight="1">
      <c r="A304" s="40"/>
    </row>
    <row r="305" ht="14.25" customHeight="1">
      <c r="A305" s="40"/>
    </row>
    <row r="306" ht="14.25" customHeight="1">
      <c r="A306" s="40"/>
    </row>
    <row r="307" ht="14.25" customHeight="1">
      <c r="A307" s="40"/>
    </row>
    <row r="308" ht="14.25" customHeight="1">
      <c r="A308" s="40"/>
    </row>
    <row r="309" ht="14.25" customHeight="1">
      <c r="A309" s="40"/>
    </row>
    <row r="310" ht="14.25" customHeight="1">
      <c r="A310" s="40"/>
    </row>
    <row r="311" ht="14.25" customHeight="1">
      <c r="A311" s="40"/>
    </row>
    <row r="312" ht="14.25" customHeight="1">
      <c r="A312" s="40"/>
    </row>
    <row r="313" ht="14.25" customHeight="1">
      <c r="A313" s="40"/>
    </row>
    <row r="314" ht="14.25" customHeight="1">
      <c r="A314" s="40"/>
    </row>
    <row r="315" ht="14.25" customHeight="1">
      <c r="A315" s="40"/>
    </row>
    <row r="316" ht="14.25" customHeight="1">
      <c r="A316" s="40"/>
    </row>
    <row r="317" ht="14.25" customHeight="1">
      <c r="A317" s="40"/>
    </row>
    <row r="318" ht="14.25" customHeight="1">
      <c r="A318" s="40"/>
    </row>
    <row r="319" ht="14.25" customHeight="1">
      <c r="A319" s="40"/>
    </row>
    <row r="320" ht="14.25" customHeight="1">
      <c r="A320" s="40"/>
    </row>
    <row r="321" ht="14.25" customHeight="1">
      <c r="A321" s="40"/>
    </row>
    <row r="322" ht="14.25" customHeight="1">
      <c r="A322" s="40"/>
    </row>
    <row r="323" ht="14.25" customHeight="1">
      <c r="A323" s="40"/>
    </row>
    <row r="324" ht="14.25" customHeight="1">
      <c r="A324" s="40"/>
    </row>
    <row r="325" ht="14.25" customHeight="1">
      <c r="A325" s="40"/>
    </row>
    <row r="326" ht="14.25" customHeight="1">
      <c r="A326" s="40"/>
    </row>
    <row r="327" ht="14.25" customHeight="1">
      <c r="A327" s="40"/>
    </row>
    <row r="328" ht="14.25" customHeight="1">
      <c r="A328" s="40"/>
    </row>
    <row r="329" ht="14.25" customHeight="1">
      <c r="A329" s="40"/>
    </row>
    <row r="330" ht="14.25" customHeight="1">
      <c r="A330" s="40"/>
    </row>
    <row r="331" ht="14.25" customHeight="1">
      <c r="A331" s="40"/>
    </row>
    <row r="332" ht="14.25" customHeight="1">
      <c r="A332" s="40"/>
    </row>
    <row r="333" ht="14.25" customHeight="1">
      <c r="A333" s="40"/>
    </row>
    <row r="334" ht="14.25" customHeight="1">
      <c r="A334" s="40"/>
    </row>
    <row r="335" ht="14.25" customHeight="1">
      <c r="A335" s="40"/>
    </row>
    <row r="336" ht="14.25" customHeight="1">
      <c r="A336" s="40"/>
    </row>
    <row r="337" ht="14.25" customHeight="1">
      <c r="A337" s="40"/>
    </row>
    <row r="338" ht="14.25" customHeight="1">
      <c r="A338" s="40"/>
    </row>
    <row r="339" ht="14.25" customHeight="1">
      <c r="A339" s="40"/>
    </row>
    <row r="340" ht="14.25" customHeight="1">
      <c r="A340" s="40"/>
    </row>
    <row r="341" ht="14.25" customHeight="1">
      <c r="A341" s="40"/>
    </row>
    <row r="342" ht="14.25" customHeight="1">
      <c r="A342" s="40"/>
    </row>
    <row r="343" ht="14.25" customHeight="1">
      <c r="A343" s="40"/>
    </row>
    <row r="344" ht="14.25" customHeight="1">
      <c r="A344" s="40"/>
    </row>
    <row r="345" ht="14.25" customHeight="1">
      <c r="A345" s="40"/>
    </row>
    <row r="346" ht="14.25" customHeight="1">
      <c r="A346" s="40"/>
    </row>
    <row r="347" ht="14.25" customHeight="1">
      <c r="A347" s="40"/>
    </row>
    <row r="348" ht="14.25" customHeight="1">
      <c r="A348" s="40"/>
    </row>
    <row r="349" ht="14.25" customHeight="1">
      <c r="A349" s="40"/>
    </row>
    <row r="350" ht="14.25" customHeight="1">
      <c r="A350" s="40"/>
    </row>
    <row r="351" ht="14.25" customHeight="1">
      <c r="A351" s="40"/>
    </row>
    <row r="352" ht="14.25" customHeight="1">
      <c r="A352" s="40"/>
    </row>
    <row r="353" ht="14.25" customHeight="1">
      <c r="A353" s="40"/>
    </row>
    <row r="354" ht="14.25" customHeight="1">
      <c r="A354" s="40"/>
    </row>
    <row r="355" ht="14.25" customHeight="1">
      <c r="A355" s="40"/>
    </row>
    <row r="356" ht="14.25" customHeight="1">
      <c r="A356" s="40"/>
    </row>
    <row r="357" ht="14.25" customHeight="1">
      <c r="A357" s="40"/>
    </row>
    <row r="358" ht="14.25" customHeight="1">
      <c r="A358" s="40"/>
    </row>
    <row r="359" ht="14.25" customHeight="1">
      <c r="A359" s="40"/>
    </row>
    <row r="360" ht="14.25" customHeight="1">
      <c r="A360" s="40"/>
    </row>
    <row r="361" ht="14.25" customHeight="1">
      <c r="A361" s="40"/>
    </row>
    <row r="362" ht="14.25" customHeight="1">
      <c r="A362" s="40"/>
    </row>
    <row r="363" ht="14.25" customHeight="1">
      <c r="A363" s="40"/>
    </row>
    <row r="364" ht="14.25" customHeight="1">
      <c r="A364" s="40"/>
    </row>
    <row r="365" ht="14.25" customHeight="1">
      <c r="A365" s="40"/>
    </row>
    <row r="366" ht="14.25" customHeight="1">
      <c r="A366" s="40"/>
    </row>
    <row r="367" ht="14.25" customHeight="1">
      <c r="A367" s="40"/>
    </row>
    <row r="368" ht="14.25" customHeight="1">
      <c r="A368" s="40"/>
    </row>
    <row r="369" ht="14.25" customHeight="1">
      <c r="A369" s="40"/>
    </row>
    <row r="370" ht="14.25" customHeight="1">
      <c r="A370" s="40"/>
    </row>
    <row r="371" ht="14.25" customHeight="1">
      <c r="A371" s="40"/>
    </row>
    <row r="372" ht="14.25" customHeight="1">
      <c r="A372" s="40"/>
    </row>
    <row r="373" ht="14.25" customHeight="1">
      <c r="A373" s="40"/>
    </row>
    <row r="374" ht="14.25" customHeight="1">
      <c r="A374" s="40"/>
    </row>
    <row r="375" ht="14.25" customHeight="1">
      <c r="A375" s="40"/>
    </row>
    <row r="376" ht="14.25" customHeight="1">
      <c r="A376" s="40"/>
    </row>
    <row r="377" ht="14.25" customHeight="1">
      <c r="A377" s="40"/>
    </row>
    <row r="378" ht="14.25" customHeight="1">
      <c r="A378" s="40"/>
    </row>
    <row r="379" ht="14.25" customHeight="1">
      <c r="A379" s="40"/>
    </row>
    <row r="380" ht="14.25" customHeight="1">
      <c r="A380" s="40"/>
    </row>
    <row r="381" ht="14.25" customHeight="1">
      <c r="A381" s="40"/>
    </row>
    <row r="382" ht="14.25" customHeight="1">
      <c r="A382" s="40"/>
    </row>
    <row r="383" ht="14.25" customHeight="1">
      <c r="A383" s="40"/>
    </row>
    <row r="384" ht="14.25" customHeight="1">
      <c r="A384" s="40"/>
    </row>
    <row r="385" ht="14.25" customHeight="1">
      <c r="A385" s="40"/>
    </row>
    <row r="386" ht="14.25" customHeight="1">
      <c r="A386" s="40"/>
    </row>
    <row r="387" ht="14.25" customHeight="1">
      <c r="A387" s="40"/>
    </row>
    <row r="388" ht="14.25" customHeight="1">
      <c r="A388" s="40"/>
    </row>
    <row r="389" ht="14.25" customHeight="1">
      <c r="A389" s="40"/>
    </row>
    <row r="390" ht="14.25" customHeight="1">
      <c r="A390" s="40"/>
    </row>
    <row r="391" ht="14.25" customHeight="1">
      <c r="A391" s="40"/>
    </row>
    <row r="392" ht="14.25" customHeight="1">
      <c r="A392" s="40"/>
    </row>
    <row r="393" ht="14.25" customHeight="1">
      <c r="A393" s="40"/>
    </row>
    <row r="394" ht="14.25" customHeight="1">
      <c r="A394" s="40"/>
    </row>
    <row r="395" ht="14.25" customHeight="1">
      <c r="A395" s="40"/>
    </row>
    <row r="396" ht="14.25" customHeight="1">
      <c r="A396" s="40"/>
    </row>
    <row r="397" ht="14.25" customHeight="1">
      <c r="A397" s="40"/>
    </row>
    <row r="398" ht="14.25" customHeight="1">
      <c r="A398" s="40"/>
    </row>
    <row r="399" ht="14.25" customHeight="1">
      <c r="A399" s="40"/>
    </row>
    <row r="400" ht="14.25" customHeight="1">
      <c r="A400" s="40"/>
    </row>
    <row r="401" ht="14.25" customHeight="1">
      <c r="A401" s="40"/>
    </row>
    <row r="402" ht="14.25" customHeight="1">
      <c r="A402" s="40"/>
    </row>
    <row r="403" ht="14.25" customHeight="1">
      <c r="A403" s="40"/>
    </row>
    <row r="404" ht="14.25" customHeight="1">
      <c r="A404" s="40"/>
    </row>
    <row r="405" ht="14.25" customHeight="1">
      <c r="A405" s="40"/>
    </row>
    <row r="406" ht="14.25" customHeight="1">
      <c r="A406" s="40"/>
    </row>
    <row r="407" ht="14.25" customHeight="1">
      <c r="A407" s="40"/>
    </row>
    <row r="408" ht="14.25" customHeight="1">
      <c r="A408" s="40"/>
    </row>
    <row r="409" ht="14.25" customHeight="1">
      <c r="A409" s="40"/>
    </row>
    <row r="410" ht="14.25" customHeight="1">
      <c r="A410" s="40"/>
    </row>
    <row r="411" ht="14.25" customHeight="1">
      <c r="A411" s="40"/>
    </row>
    <row r="412" ht="14.25" customHeight="1">
      <c r="A412" s="40"/>
    </row>
    <row r="413" ht="14.25" customHeight="1">
      <c r="A413" s="40"/>
    </row>
    <row r="414" ht="14.25" customHeight="1">
      <c r="A414" s="40"/>
    </row>
    <row r="415" ht="14.25" customHeight="1">
      <c r="A415" s="40"/>
    </row>
    <row r="416" ht="14.25" customHeight="1">
      <c r="A416" s="40"/>
    </row>
    <row r="417" ht="14.25" customHeight="1">
      <c r="A417" s="40"/>
    </row>
    <row r="418" ht="14.25" customHeight="1">
      <c r="A418" s="40"/>
    </row>
    <row r="419" ht="14.25" customHeight="1">
      <c r="A419" s="40"/>
    </row>
    <row r="420" ht="14.25" customHeight="1">
      <c r="A420" s="40"/>
    </row>
    <row r="421" ht="14.25" customHeight="1">
      <c r="A421" s="40"/>
    </row>
    <row r="422" ht="14.25" customHeight="1">
      <c r="A422" s="40"/>
    </row>
    <row r="423" ht="14.25" customHeight="1">
      <c r="A423" s="40"/>
    </row>
    <row r="424" ht="14.25" customHeight="1">
      <c r="A424" s="40"/>
    </row>
    <row r="425" ht="14.25" customHeight="1">
      <c r="A425" s="40"/>
    </row>
    <row r="426" ht="14.25" customHeight="1">
      <c r="A426" s="40"/>
    </row>
    <row r="427" ht="14.25" customHeight="1">
      <c r="A427" s="40"/>
    </row>
    <row r="428" ht="14.25" customHeight="1">
      <c r="A428" s="40"/>
    </row>
    <row r="429" ht="14.25" customHeight="1">
      <c r="A429" s="40"/>
    </row>
    <row r="430" ht="14.25" customHeight="1">
      <c r="A430" s="40"/>
    </row>
    <row r="431" ht="14.25" customHeight="1">
      <c r="A431" s="40"/>
    </row>
    <row r="432" ht="14.25" customHeight="1">
      <c r="A432" s="40"/>
    </row>
    <row r="433" ht="14.25" customHeight="1">
      <c r="A433" s="40"/>
    </row>
    <row r="434" ht="14.25" customHeight="1">
      <c r="A434" s="40"/>
    </row>
    <row r="435" ht="14.25" customHeight="1">
      <c r="A435" s="40"/>
    </row>
    <row r="436" ht="14.25" customHeight="1">
      <c r="A436" s="40"/>
    </row>
    <row r="437" ht="14.25" customHeight="1">
      <c r="A437" s="40"/>
    </row>
    <row r="438" ht="14.25" customHeight="1">
      <c r="A438" s="40"/>
    </row>
    <row r="439" ht="14.25" customHeight="1">
      <c r="A439" s="40"/>
    </row>
    <row r="440" ht="14.25" customHeight="1">
      <c r="A440" s="40"/>
    </row>
    <row r="441" ht="14.25" customHeight="1">
      <c r="A441" s="40"/>
    </row>
    <row r="442" ht="14.25" customHeight="1">
      <c r="A442" s="40"/>
    </row>
    <row r="443" ht="14.25" customHeight="1">
      <c r="A443" s="40"/>
    </row>
    <row r="444" ht="14.25" customHeight="1">
      <c r="A444" s="40"/>
    </row>
    <row r="445" ht="14.25" customHeight="1">
      <c r="A445" s="40"/>
    </row>
    <row r="446" ht="14.25" customHeight="1">
      <c r="A446" s="40"/>
    </row>
    <row r="447" ht="14.25" customHeight="1">
      <c r="A447" s="40"/>
    </row>
    <row r="448" ht="14.25" customHeight="1">
      <c r="A448" s="40"/>
    </row>
    <row r="449" ht="14.25" customHeight="1">
      <c r="A449" s="40"/>
    </row>
    <row r="450" ht="14.25" customHeight="1">
      <c r="A450" s="40"/>
    </row>
    <row r="451" ht="14.25" customHeight="1">
      <c r="A451" s="40"/>
    </row>
    <row r="452" ht="14.25" customHeight="1">
      <c r="A452" s="40"/>
    </row>
    <row r="453" ht="14.25" customHeight="1">
      <c r="A453" s="40"/>
    </row>
    <row r="454" ht="14.25" customHeight="1">
      <c r="A454" s="40"/>
    </row>
    <row r="455" ht="14.25" customHeight="1">
      <c r="A455" s="40"/>
    </row>
    <row r="456" ht="14.25" customHeight="1">
      <c r="A456" s="40"/>
    </row>
    <row r="457" ht="14.25" customHeight="1">
      <c r="A457" s="40"/>
    </row>
    <row r="458" ht="14.25" customHeight="1">
      <c r="A458" s="40"/>
    </row>
    <row r="459" ht="14.25" customHeight="1">
      <c r="A459" s="40"/>
    </row>
    <row r="460" ht="14.25" customHeight="1">
      <c r="A460" s="40"/>
    </row>
    <row r="461" ht="14.25" customHeight="1">
      <c r="A461" s="40"/>
    </row>
    <row r="462" ht="14.25" customHeight="1">
      <c r="A462" s="40"/>
    </row>
    <row r="463" ht="14.25" customHeight="1">
      <c r="A463" s="40"/>
    </row>
    <row r="464" ht="14.25" customHeight="1">
      <c r="A464" s="40"/>
    </row>
    <row r="465" ht="14.25" customHeight="1">
      <c r="A465" s="40"/>
    </row>
    <row r="466" ht="14.25" customHeight="1">
      <c r="A466" s="40"/>
    </row>
    <row r="467" ht="14.25" customHeight="1">
      <c r="A467" s="40"/>
    </row>
    <row r="468" ht="14.25" customHeight="1">
      <c r="A468" s="40"/>
    </row>
    <row r="469" ht="14.25" customHeight="1">
      <c r="A469" s="40"/>
    </row>
    <row r="470" ht="14.25" customHeight="1">
      <c r="A470" s="40"/>
    </row>
    <row r="471" ht="14.25" customHeight="1">
      <c r="A471" s="40"/>
    </row>
    <row r="472" ht="14.25" customHeight="1">
      <c r="A472" s="40"/>
    </row>
    <row r="473" ht="14.25" customHeight="1">
      <c r="A473" s="40"/>
    </row>
    <row r="474" ht="14.25" customHeight="1">
      <c r="A474" s="40"/>
    </row>
    <row r="475" ht="14.25" customHeight="1">
      <c r="A475" s="40"/>
    </row>
    <row r="476" ht="14.25" customHeight="1">
      <c r="A476" s="40"/>
    </row>
    <row r="477" ht="14.25" customHeight="1">
      <c r="A477" s="40"/>
    </row>
    <row r="478" ht="14.25" customHeight="1">
      <c r="A478" s="40"/>
    </row>
    <row r="479" ht="14.25" customHeight="1">
      <c r="A479" s="40"/>
    </row>
    <row r="480" ht="14.25" customHeight="1">
      <c r="A480" s="40"/>
    </row>
    <row r="481" ht="14.25" customHeight="1">
      <c r="A481" s="40"/>
    </row>
    <row r="482" ht="14.25" customHeight="1">
      <c r="A482" s="40"/>
    </row>
    <row r="483" ht="14.25" customHeight="1">
      <c r="A483" s="40"/>
    </row>
    <row r="484" ht="14.25" customHeight="1">
      <c r="A484" s="40"/>
    </row>
    <row r="485" ht="14.25" customHeight="1">
      <c r="A485" s="40"/>
    </row>
    <row r="486" ht="14.25" customHeight="1">
      <c r="A486" s="40"/>
    </row>
    <row r="487" ht="14.25" customHeight="1">
      <c r="A487" s="40"/>
    </row>
    <row r="488" ht="14.25" customHeight="1">
      <c r="A488" s="40"/>
    </row>
    <row r="489" ht="14.25" customHeight="1">
      <c r="A489" s="40"/>
    </row>
    <row r="490" ht="14.25" customHeight="1">
      <c r="A490" s="40"/>
    </row>
    <row r="491" ht="14.25" customHeight="1">
      <c r="A491" s="40"/>
    </row>
    <row r="492" ht="14.25" customHeight="1">
      <c r="A492" s="40"/>
    </row>
    <row r="493" ht="14.25" customHeight="1">
      <c r="A493" s="40"/>
    </row>
    <row r="494" ht="14.25" customHeight="1">
      <c r="A494" s="40"/>
    </row>
    <row r="495" ht="14.25" customHeight="1">
      <c r="A495" s="40"/>
    </row>
    <row r="496" ht="14.25" customHeight="1">
      <c r="A496" s="40"/>
    </row>
    <row r="497" ht="14.25" customHeight="1">
      <c r="A497" s="40"/>
    </row>
    <row r="498" ht="14.25" customHeight="1">
      <c r="A498" s="40"/>
    </row>
    <row r="499" ht="14.25" customHeight="1">
      <c r="A499" s="40"/>
    </row>
    <row r="500" ht="14.25" customHeight="1">
      <c r="A500" s="40"/>
    </row>
    <row r="501" ht="14.25" customHeight="1">
      <c r="A501" s="40"/>
    </row>
    <row r="502" ht="14.25" customHeight="1">
      <c r="A502" s="40"/>
    </row>
    <row r="503" ht="14.25" customHeight="1">
      <c r="A503" s="40"/>
    </row>
    <row r="504" ht="14.25" customHeight="1">
      <c r="A504" s="40"/>
    </row>
    <row r="505" ht="14.25" customHeight="1">
      <c r="A505" s="40"/>
    </row>
    <row r="506" ht="14.25" customHeight="1">
      <c r="A506" s="40"/>
    </row>
    <row r="507" ht="14.25" customHeight="1">
      <c r="A507" s="40"/>
    </row>
    <row r="508" ht="14.25" customHeight="1">
      <c r="A508" s="40"/>
    </row>
    <row r="509" ht="14.25" customHeight="1">
      <c r="A509" s="40"/>
    </row>
    <row r="510" ht="14.25" customHeight="1">
      <c r="A510" s="40"/>
    </row>
    <row r="511" ht="14.25" customHeight="1">
      <c r="A511" s="40"/>
    </row>
    <row r="512" ht="14.25" customHeight="1">
      <c r="A512" s="40"/>
    </row>
    <row r="513" ht="14.25" customHeight="1">
      <c r="A513" s="40"/>
    </row>
    <row r="514" ht="14.25" customHeight="1">
      <c r="A514" s="40"/>
    </row>
    <row r="515" ht="14.25" customHeight="1">
      <c r="A515" s="40"/>
    </row>
    <row r="516" ht="14.25" customHeight="1">
      <c r="A516" s="40"/>
    </row>
    <row r="517" ht="14.25" customHeight="1">
      <c r="A517" s="40"/>
    </row>
    <row r="518" ht="14.25" customHeight="1">
      <c r="A518" s="40"/>
    </row>
    <row r="519" ht="14.25" customHeight="1">
      <c r="A519" s="40"/>
    </row>
    <row r="520" ht="14.25" customHeight="1">
      <c r="A520" s="40"/>
    </row>
    <row r="521" ht="14.25" customHeight="1">
      <c r="A521" s="40"/>
    </row>
    <row r="522" ht="14.25" customHeight="1">
      <c r="A522" s="40"/>
    </row>
    <row r="523" ht="14.25" customHeight="1">
      <c r="A523" s="40"/>
    </row>
    <row r="524" ht="14.25" customHeight="1">
      <c r="A524" s="40"/>
    </row>
    <row r="525" ht="14.25" customHeight="1">
      <c r="A525" s="40"/>
    </row>
    <row r="526" ht="14.25" customHeight="1">
      <c r="A526" s="40"/>
    </row>
    <row r="527" ht="14.25" customHeight="1">
      <c r="A527" s="40"/>
    </row>
    <row r="528" ht="14.25" customHeight="1">
      <c r="A528" s="40"/>
    </row>
    <row r="529" ht="14.25" customHeight="1">
      <c r="A529" s="40"/>
    </row>
    <row r="530" ht="14.25" customHeight="1">
      <c r="A530" s="40"/>
    </row>
    <row r="531" ht="14.25" customHeight="1">
      <c r="A531" s="40"/>
    </row>
    <row r="532" ht="14.25" customHeight="1">
      <c r="A532" s="40"/>
    </row>
    <row r="533" ht="14.25" customHeight="1">
      <c r="A533" s="40"/>
    </row>
    <row r="534" ht="14.25" customHeight="1">
      <c r="A534" s="40"/>
    </row>
    <row r="535" ht="14.25" customHeight="1">
      <c r="A535" s="40"/>
    </row>
    <row r="536" ht="14.25" customHeight="1">
      <c r="A536" s="40"/>
    </row>
    <row r="537" ht="14.25" customHeight="1">
      <c r="A537" s="40"/>
    </row>
    <row r="538" ht="14.25" customHeight="1">
      <c r="A538" s="40"/>
    </row>
    <row r="539" ht="14.25" customHeight="1">
      <c r="A539" s="40"/>
    </row>
    <row r="540" ht="14.25" customHeight="1">
      <c r="A540" s="40"/>
    </row>
    <row r="541" ht="14.25" customHeight="1">
      <c r="A541" s="40"/>
    </row>
    <row r="542" ht="14.25" customHeight="1">
      <c r="A542" s="40"/>
    </row>
    <row r="543" ht="14.25" customHeight="1">
      <c r="A543" s="40"/>
    </row>
    <row r="544" ht="14.25" customHeight="1">
      <c r="A544" s="40"/>
    </row>
    <row r="545" ht="14.25" customHeight="1">
      <c r="A545" s="40"/>
    </row>
    <row r="546" ht="14.25" customHeight="1">
      <c r="A546" s="40"/>
    </row>
    <row r="547" ht="14.25" customHeight="1">
      <c r="A547" s="40"/>
    </row>
    <row r="548" ht="14.25" customHeight="1">
      <c r="A548" s="40"/>
    </row>
    <row r="549" ht="14.25" customHeight="1">
      <c r="A549" s="40"/>
    </row>
    <row r="550" ht="14.25" customHeight="1">
      <c r="A550" s="40"/>
    </row>
    <row r="551" ht="14.25" customHeight="1">
      <c r="A551" s="40"/>
    </row>
    <row r="552" ht="14.25" customHeight="1">
      <c r="A552" s="40"/>
    </row>
    <row r="553" ht="14.25" customHeight="1">
      <c r="A553" s="40"/>
    </row>
    <row r="554" ht="14.25" customHeight="1">
      <c r="A554" s="40"/>
    </row>
    <row r="555" ht="14.25" customHeight="1">
      <c r="A555" s="40"/>
    </row>
    <row r="556" ht="14.25" customHeight="1">
      <c r="A556" s="40"/>
    </row>
    <row r="557" ht="14.25" customHeight="1">
      <c r="A557" s="40"/>
    </row>
    <row r="558" ht="14.25" customHeight="1">
      <c r="A558" s="40"/>
    </row>
    <row r="559" ht="14.25" customHeight="1">
      <c r="A559" s="40"/>
    </row>
    <row r="560" ht="14.25" customHeight="1">
      <c r="A560" s="40"/>
    </row>
    <row r="561" ht="14.25" customHeight="1">
      <c r="A561" s="40"/>
    </row>
    <row r="562" ht="14.25" customHeight="1">
      <c r="A562" s="40"/>
    </row>
    <row r="563" ht="14.25" customHeight="1">
      <c r="A563" s="40"/>
    </row>
    <row r="564" ht="14.25" customHeight="1">
      <c r="A564" s="40"/>
    </row>
    <row r="565" ht="14.25" customHeight="1">
      <c r="A565" s="40"/>
    </row>
    <row r="566" ht="14.25" customHeight="1">
      <c r="A566" s="40"/>
    </row>
    <row r="567" ht="14.25" customHeight="1">
      <c r="A567" s="40"/>
    </row>
    <row r="568" ht="14.25" customHeight="1">
      <c r="A568" s="40"/>
    </row>
    <row r="569" ht="14.25" customHeight="1">
      <c r="A569" s="40"/>
    </row>
    <row r="570" ht="14.25" customHeight="1">
      <c r="A570" s="40"/>
    </row>
    <row r="571" ht="14.25" customHeight="1">
      <c r="A571" s="40"/>
    </row>
    <row r="572" ht="14.25" customHeight="1">
      <c r="A572" s="40"/>
    </row>
    <row r="573" ht="14.25" customHeight="1">
      <c r="A573" s="40"/>
    </row>
    <row r="574" ht="14.25" customHeight="1">
      <c r="A574" s="40"/>
    </row>
    <row r="575" ht="14.25" customHeight="1">
      <c r="A575" s="40"/>
    </row>
    <row r="576" ht="14.25" customHeight="1">
      <c r="A576" s="40"/>
    </row>
    <row r="577" ht="14.25" customHeight="1">
      <c r="A577" s="40"/>
    </row>
    <row r="578" ht="14.25" customHeight="1">
      <c r="A578" s="40"/>
    </row>
    <row r="579" ht="14.25" customHeight="1">
      <c r="A579" s="40"/>
    </row>
    <row r="580" ht="14.25" customHeight="1">
      <c r="A580" s="40"/>
    </row>
    <row r="581" ht="14.25" customHeight="1">
      <c r="A581" s="40"/>
    </row>
    <row r="582" ht="14.25" customHeight="1">
      <c r="A582" s="40"/>
    </row>
    <row r="583" ht="14.25" customHeight="1">
      <c r="A583" s="40"/>
    </row>
    <row r="584" ht="14.25" customHeight="1">
      <c r="A584" s="40"/>
    </row>
    <row r="585" ht="14.25" customHeight="1">
      <c r="A585" s="40"/>
    </row>
    <row r="586" ht="14.25" customHeight="1">
      <c r="A586" s="40"/>
    </row>
    <row r="587" ht="14.25" customHeight="1">
      <c r="A587" s="40"/>
    </row>
    <row r="588" ht="14.25" customHeight="1">
      <c r="A588" s="40"/>
    </row>
    <row r="589" ht="14.25" customHeight="1">
      <c r="A589" s="40"/>
    </row>
    <row r="590" ht="14.25" customHeight="1">
      <c r="A590" s="40"/>
    </row>
    <row r="591" ht="14.25" customHeight="1">
      <c r="A591" s="40"/>
    </row>
    <row r="592" ht="14.25" customHeight="1">
      <c r="A592" s="40"/>
    </row>
    <row r="593" ht="14.25" customHeight="1">
      <c r="A593" s="40"/>
    </row>
    <row r="594" ht="14.25" customHeight="1">
      <c r="A594" s="40"/>
    </row>
    <row r="595" ht="14.25" customHeight="1">
      <c r="A595" s="40"/>
    </row>
    <row r="596" ht="14.25" customHeight="1">
      <c r="A596" s="40"/>
    </row>
    <row r="597" ht="14.25" customHeight="1">
      <c r="A597" s="40"/>
    </row>
    <row r="598" ht="14.25" customHeight="1">
      <c r="A598" s="40"/>
    </row>
    <row r="599" ht="14.25" customHeight="1">
      <c r="A599" s="40"/>
    </row>
    <row r="600" ht="14.25" customHeight="1">
      <c r="A600" s="40"/>
    </row>
    <row r="601" ht="14.25" customHeight="1">
      <c r="A601" s="40"/>
    </row>
    <row r="602" ht="14.25" customHeight="1">
      <c r="A602" s="40"/>
    </row>
    <row r="603" ht="14.25" customHeight="1">
      <c r="A603" s="40"/>
    </row>
    <row r="604" ht="14.25" customHeight="1">
      <c r="A604" s="40"/>
    </row>
    <row r="605" ht="14.25" customHeight="1">
      <c r="A605" s="40"/>
    </row>
    <row r="606" ht="14.25" customHeight="1">
      <c r="A606" s="40"/>
    </row>
    <row r="607" ht="14.25" customHeight="1">
      <c r="A607" s="40"/>
    </row>
    <row r="608" ht="14.25" customHeight="1">
      <c r="A608" s="40"/>
    </row>
    <row r="609" ht="14.25" customHeight="1">
      <c r="A609" s="40"/>
    </row>
    <row r="610" ht="14.25" customHeight="1">
      <c r="A610" s="40"/>
    </row>
    <row r="611" ht="14.25" customHeight="1">
      <c r="A611" s="40"/>
    </row>
    <row r="612" ht="14.25" customHeight="1">
      <c r="A612" s="40"/>
    </row>
    <row r="613" ht="14.25" customHeight="1">
      <c r="A613" s="40"/>
    </row>
    <row r="614" ht="14.25" customHeight="1">
      <c r="A614" s="40"/>
    </row>
    <row r="615" ht="14.25" customHeight="1">
      <c r="A615" s="40"/>
    </row>
    <row r="616" ht="14.25" customHeight="1">
      <c r="A616" s="40"/>
    </row>
    <row r="617" ht="14.25" customHeight="1">
      <c r="A617" s="40"/>
    </row>
    <row r="618" ht="14.25" customHeight="1">
      <c r="A618" s="40"/>
    </row>
    <row r="619" ht="14.25" customHeight="1">
      <c r="A619" s="40"/>
    </row>
    <row r="620" ht="14.25" customHeight="1">
      <c r="A620" s="40"/>
    </row>
    <row r="621" ht="14.25" customHeight="1">
      <c r="A621" s="40"/>
    </row>
    <row r="622" ht="14.25" customHeight="1">
      <c r="A622" s="40"/>
    </row>
    <row r="623" ht="14.25" customHeight="1">
      <c r="A623" s="40"/>
    </row>
    <row r="624" ht="14.25" customHeight="1">
      <c r="A624" s="40"/>
    </row>
    <row r="625" ht="14.25" customHeight="1">
      <c r="A625" s="40"/>
    </row>
    <row r="626" ht="14.25" customHeight="1">
      <c r="A626" s="40"/>
    </row>
    <row r="627" ht="14.25" customHeight="1">
      <c r="A627" s="40"/>
    </row>
    <row r="628" ht="14.25" customHeight="1">
      <c r="A628" s="40"/>
    </row>
    <row r="629" ht="14.25" customHeight="1">
      <c r="A629" s="40"/>
    </row>
    <row r="630" ht="14.25" customHeight="1">
      <c r="A630" s="40"/>
    </row>
    <row r="631" ht="14.25" customHeight="1">
      <c r="A631" s="40"/>
    </row>
    <row r="632" ht="14.25" customHeight="1">
      <c r="A632" s="40"/>
    </row>
    <row r="633" ht="14.25" customHeight="1">
      <c r="A633" s="40"/>
    </row>
    <row r="634" ht="14.25" customHeight="1">
      <c r="A634" s="40"/>
    </row>
    <row r="635" ht="14.25" customHeight="1">
      <c r="A635" s="40"/>
    </row>
    <row r="636" ht="14.25" customHeight="1">
      <c r="A636" s="40"/>
    </row>
    <row r="637" ht="14.25" customHeight="1">
      <c r="A637" s="40"/>
    </row>
    <row r="638" ht="14.25" customHeight="1">
      <c r="A638" s="40"/>
    </row>
    <row r="639" ht="14.25" customHeight="1">
      <c r="A639" s="40"/>
    </row>
    <row r="640" ht="14.25" customHeight="1">
      <c r="A640" s="40"/>
    </row>
    <row r="641" ht="14.25" customHeight="1">
      <c r="A641" s="40"/>
    </row>
    <row r="642" ht="14.25" customHeight="1">
      <c r="A642" s="40"/>
    </row>
    <row r="643" ht="14.25" customHeight="1">
      <c r="A643" s="40"/>
    </row>
    <row r="644" ht="14.25" customHeight="1">
      <c r="A644" s="40"/>
    </row>
    <row r="645" ht="14.25" customHeight="1">
      <c r="A645" s="40"/>
    </row>
    <row r="646" ht="14.25" customHeight="1">
      <c r="A646" s="40"/>
    </row>
    <row r="647" ht="14.25" customHeight="1">
      <c r="A647" s="40"/>
    </row>
    <row r="648" ht="14.25" customHeight="1">
      <c r="A648" s="40"/>
    </row>
    <row r="649" ht="14.25" customHeight="1">
      <c r="A649" s="40"/>
    </row>
    <row r="650" ht="14.25" customHeight="1">
      <c r="A650" s="40"/>
    </row>
    <row r="651" ht="14.25" customHeight="1">
      <c r="A651" s="40"/>
    </row>
    <row r="652" ht="14.25" customHeight="1">
      <c r="A652" s="40"/>
    </row>
    <row r="653" ht="14.25" customHeight="1">
      <c r="A653" s="40"/>
    </row>
    <row r="654" ht="14.25" customHeight="1">
      <c r="A654" s="40"/>
    </row>
    <row r="655" ht="14.25" customHeight="1">
      <c r="A655" s="40"/>
    </row>
    <row r="656" ht="14.25" customHeight="1">
      <c r="A656" s="40"/>
    </row>
    <row r="657" ht="14.25" customHeight="1">
      <c r="A657" s="40"/>
    </row>
    <row r="658" ht="14.25" customHeight="1">
      <c r="A658" s="40"/>
    </row>
    <row r="659" ht="14.25" customHeight="1">
      <c r="A659" s="40"/>
    </row>
    <row r="660" ht="14.25" customHeight="1">
      <c r="A660" s="40"/>
    </row>
    <row r="661" ht="14.25" customHeight="1">
      <c r="A661" s="40"/>
    </row>
    <row r="662" ht="14.25" customHeight="1">
      <c r="A662" s="40"/>
    </row>
    <row r="663" ht="14.25" customHeight="1">
      <c r="A663" s="40"/>
    </row>
    <row r="664" ht="14.25" customHeight="1">
      <c r="A664" s="40"/>
    </row>
    <row r="665" ht="14.25" customHeight="1">
      <c r="A665" s="40"/>
    </row>
    <row r="666" ht="14.25" customHeight="1">
      <c r="A666" s="40"/>
    </row>
    <row r="667" ht="14.25" customHeight="1">
      <c r="A667" s="40"/>
    </row>
    <row r="668" ht="14.25" customHeight="1">
      <c r="A668" s="40"/>
    </row>
    <row r="669" ht="14.25" customHeight="1">
      <c r="A669" s="40"/>
    </row>
    <row r="670" ht="14.25" customHeight="1">
      <c r="A670" s="40"/>
    </row>
    <row r="671" ht="14.25" customHeight="1">
      <c r="A671" s="40"/>
    </row>
    <row r="672" ht="14.25" customHeight="1">
      <c r="A672" s="40"/>
    </row>
    <row r="673" ht="14.25" customHeight="1">
      <c r="A673" s="40"/>
    </row>
    <row r="674" ht="14.25" customHeight="1">
      <c r="A674" s="40"/>
    </row>
    <row r="675" ht="14.25" customHeight="1">
      <c r="A675" s="40"/>
    </row>
    <row r="676" ht="14.25" customHeight="1">
      <c r="A676" s="40"/>
    </row>
    <row r="677" ht="14.25" customHeight="1">
      <c r="A677" s="40"/>
    </row>
    <row r="678" ht="14.25" customHeight="1">
      <c r="A678" s="40"/>
    </row>
    <row r="679" ht="14.25" customHeight="1">
      <c r="A679" s="40"/>
    </row>
    <row r="680" ht="14.25" customHeight="1">
      <c r="A680" s="40"/>
    </row>
    <row r="681" ht="14.25" customHeight="1">
      <c r="A681" s="40"/>
    </row>
    <row r="682" ht="14.25" customHeight="1">
      <c r="A682" s="40"/>
    </row>
    <row r="683" ht="14.25" customHeight="1">
      <c r="A683" s="40"/>
    </row>
    <row r="684" ht="14.25" customHeight="1">
      <c r="A684" s="40"/>
    </row>
    <row r="685" ht="14.25" customHeight="1">
      <c r="A685" s="40"/>
    </row>
    <row r="686" ht="14.25" customHeight="1">
      <c r="A686" s="40"/>
    </row>
    <row r="687" ht="14.25" customHeight="1">
      <c r="A687" s="40"/>
    </row>
    <row r="688" ht="14.25" customHeight="1">
      <c r="A688" s="40"/>
    </row>
    <row r="689" ht="14.25" customHeight="1">
      <c r="A689" s="40"/>
    </row>
    <row r="690" ht="14.25" customHeight="1">
      <c r="A690" s="40"/>
    </row>
    <row r="691" ht="14.25" customHeight="1">
      <c r="A691" s="40"/>
    </row>
    <row r="692" ht="14.25" customHeight="1">
      <c r="A692" s="40"/>
    </row>
    <row r="693" ht="14.25" customHeight="1">
      <c r="A693" s="40"/>
    </row>
    <row r="694" ht="14.25" customHeight="1">
      <c r="A694" s="40"/>
    </row>
    <row r="695" ht="14.25" customHeight="1">
      <c r="A695" s="40"/>
    </row>
    <row r="696" ht="14.25" customHeight="1">
      <c r="A696" s="40"/>
    </row>
    <row r="697" ht="14.25" customHeight="1">
      <c r="A697" s="40"/>
    </row>
    <row r="698" ht="14.25" customHeight="1">
      <c r="A698" s="40"/>
    </row>
    <row r="699" ht="14.25" customHeight="1">
      <c r="A699" s="40"/>
    </row>
    <row r="700" ht="14.25" customHeight="1">
      <c r="A700" s="40"/>
    </row>
    <row r="701" ht="14.25" customHeight="1">
      <c r="A701" s="40"/>
    </row>
    <row r="702" ht="14.25" customHeight="1">
      <c r="A702" s="40"/>
    </row>
    <row r="703" ht="14.25" customHeight="1">
      <c r="A703" s="40"/>
    </row>
    <row r="704" ht="14.25" customHeight="1">
      <c r="A704" s="40"/>
    </row>
    <row r="705" ht="14.25" customHeight="1">
      <c r="A705" s="40"/>
    </row>
    <row r="706" ht="14.25" customHeight="1">
      <c r="A706" s="40"/>
    </row>
    <row r="707" ht="14.25" customHeight="1">
      <c r="A707" s="40"/>
    </row>
    <row r="708" ht="14.25" customHeight="1">
      <c r="A708" s="40"/>
    </row>
    <row r="709" ht="14.25" customHeight="1">
      <c r="A709" s="40"/>
    </row>
    <row r="710" ht="14.25" customHeight="1">
      <c r="A710" s="40"/>
    </row>
    <row r="711" ht="14.25" customHeight="1">
      <c r="A711" s="40"/>
    </row>
    <row r="712" ht="14.25" customHeight="1">
      <c r="A712" s="40"/>
    </row>
    <row r="713" ht="14.25" customHeight="1">
      <c r="A713" s="40"/>
    </row>
    <row r="714" ht="14.25" customHeight="1">
      <c r="A714" s="40"/>
    </row>
    <row r="715" ht="14.25" customHeight="1">
      <c r="A715" s="40"/>
    </row>
    <row r="716" ht="14.25" customHeight="1">
      <c r="A716" s="40"/>
    </row>
    <row r="717" ht="14.25" customHeight="1">
      <c r="A717" s="40"/>
    </row>
    <row r="718" ht="14.25" customHeight="1">
      <c r="A718" s="40"/>
    </row>
    <row r="719" ht="14.25" customHeight="1">
      <c r="A719" s="40"/>
    </row>
    <row r="720" ht="14.25" customHeight="1">
      <c r="A720" s="40"/>
    </row>
    <row r="721" ht="14.25" customHeight="1">
      <c r="A721" s="40"/>
    </row>
    <row r="722" ht="14.25" customHeight="1">
      <c r="A722" s="40"/>
    </row>
    <row r="723" ht="14.25" customHeight="1">
      <c r="A723" s="40"/>
    </row>
    <row r="724" ht="14.25" customHeight="1">
      <c r="A724" s="40"/>
    </row>
    <row r="725" ht="14.25" customHeight="1">
      <c r="A725" s="40"/>
    </row>
    <row r="726" ht="14.25" customHeight="1">
      <c r="A726" s="40"/>
    </row>
    <row r="727" ht="14.25" customHeight="1">
      <c r="A727" s="40"/>
    </row>
    <row r="728" ht="14.25" customHeight="1">
      <c r="A728" s="40"/>
    </row>
    <row r="729" ht="14.25" customHeight="1">
      <c r="A729" s="40"/>
    </row>
    <row r="730" ht="14.25" customHeight="1">
      <c r="A730" s="40"/>
    </row>
    <row r="731" ht="14.25" customHeight="1">
      <c r="A731" s="40"/>
    </row>
    <row r="732" ht="14.25" customHeight="1">
      <c r="A732" s="40"/>
    </row>
    <row r="733" ht="14.25" customHeight="1">
      <c r="A733" s="40"/>
    </row>
    <row r="734" ht="14.25" customHeight="1">
      <c r="A734" s="40"/>
    </row>
    <row r="735" ht="14.25" customHeight="1">
      <c r="A735" s="40"/>
    </row>
    <row r="736" ht="14.25" customHeight="1">
      <c r="A736" s="40"/>
    </row>
    <row r="737" ht="14.25" customHeight="1">
      <c r="A737" s="40"/>
    </row>
    <row r="738" ht="14.25" customHeight="1">
      <c r="A738" s="40"/>
    </row>
    <row r="739" ht="14.25" customHeight="1">
      <c r="A739" s="40"/>
    </row>
    <row r="740" ht="14.25" customHeight="1">
      <c r="A740" s="40"/>
    </row>
    <row r="741" ht="14.25" customHeight="1">
      <c r="A741" s="40"/>
    </row>
    <row r="742" ht="14.25" customHeight="1">
      <c r="A742" s="40"/>
    </row>
    <row r="743" ht="14.25" customHeight="1">
      <c r="A743" s="40"/>
    </row>
    <row r="744" ht="14.25" customHeight="1">
      <c r="A744" s="40"/>
    </row>
    <row r="745" ht="14.25" customHeight="1">
      <c r="A745" s="40"/>
    </row>
    <row r="746" ht="14.25" customHeight="1">
      <c r="A746" s="40"/>
    </row>
    <row r="747" ht="14.25" customHeight="1">
      <c r="A747" s="40"/>
    </row>
    <row r="748" ht="14.25" customHeight="1">
      <c r="A748" s="40"/>
    </row>
    <row r="749" ht="14.25" customHeight="1">
      <c r="A749" s="40"/>
    </row>
    <row r="750" ht="14.25" customHeight="1">
      <c r="A750" s="40"/>
    </row>
    <row r="751" ht="14.25" customHeight="1">
      <c r="A751" s="40"/>
    </row>
    <row r="752" ht="14.25" customHeight="1">
      <c r="A752" s="40"/>
    </row>
    <row r="753" ht="14.25" customHeight="1">
      <c r="A753" s="40"/>
    </row>
    <row r="754" ht="14.25" customHeight="1">
      <c r="A754" s="40"/>
    </row>
    <row r="755" ht="14.25" customHeight="1">
      <c r="A755" s="40"/>
    </row>
    <row r="756" ht="14.25" customHeight="1">
      <c r="A756" s="40"/>
    </row>
    <row r="757" ht="14.25" customHeight="1">
      <c r="A757" s="40"/>
    </row>
    <row r="758" ht="14.25" customHeight="1">
      <c r="A758" s="40"/>
    </row>
    <row r="759" ht="14.25" customHeight="1">
      <c r="A759" s="40"/>
    </row>
    <row r="760" ht="14.25" customHeight="1">
      <c r="A760" s="40"/>
    </row>
    <row r="761" ht="14.25" customHeight="1">
      <c r="A761" s="40"/>
    </row>
    <row r="762" ht="14.25" customHeight="1">
      <c r="A762" s="40"/>
    </row>
    <row r="763" ht="14.25" customHeight="1">
      <c r="A763" s="40"/>
    </row>
    <row r="764" ht="14.25" customHeight="1">
      <c r="A764" s="40"/>
    </row>
    <row r="765" ht="14.25" customHeight="1">
      <c r="A765" s="40"/>
    </row>
    <row r="766" ht="14.25" customHeight="1">
      <c r="A766" s="40"/>
    </row>
    <row r="767" ht="14.25" customHeight="1">
      <c r="A767" s="40"/>
    </row>
    <row r="768" ht="14.25" customHeight="1">
      <c r="A768" s="40"/>
    </row>
    <row r="769" ht="14.25" customHeight="1">
      <c r="A769" s="40"/>
    </row>
    <row r="770" ht="14.25" customHeight="1">
      <c r="A770" s="40"/>
    </row>
    <row r="771" ht="14.25" customHeight="1">
      <c r="A771" s="40"/>
    </row>
    <row r="772" ht="14.25" customHeight="1">
      <c r="A772" s="40"/>
    </row>
    <row r="773" ht="14.25" customHeight="1">
      <c r="A773" s="40"/>
    </row>
    <row r="774" ht="14.25" customHeight="1">
      <c r="A774" s="40"/>
    </row>
    <row r="775" ht="14.25" customHeight="1">
      <c r="A775" s="40"/>
    </row>
    <row r="776" ht="14.25" customHeight="1">
      <c r="A776" s="40"/>
    </row>
    <row r="777" ht="14.25" customHeight="1">
      <c r="A777" s="40"/>
    </row>
    <row r="778" ht="14.25" customHeight="1">
      <c r="A778" s="40"/>
    </row>
    <row r="779" ht="14.25" customHeight="1">
      <c r="A779" s="40"/>
    </row>
    <row r="780" ht="14.25" customHeight="1">
      <c r="A780" s="40"/>
    </row>
    <row r="781" ht="14.25" customHeight="1">
      <c r="A781" s="40"/>
    </row>
    <row r="782" ht="14.25" customHeight="1">
      <c r="A782" s="40"/>
    </row>
    <row r="783" ht="14.25" customHeight="1">
      <c r="A783" s="40"/>
    </row>
    <row r="784" ht="14.25" customHeight="1">
      <c r="A784" s="40"/>
    </row>
    <row r="785" ht="14.25" customHeight="1">
      <c r="A785" s="40"/>
    </row>
    <row r="786" ht="14.25" customHeight="1">
      <c r="A786" s="40"/>
    </row>
    <row r="787" ht="14.25" customHeight="1">
      <c r="A787" s="40"/>
    </row>
    <row r="788" ht="14.25" customHeight="1">
      <c r="A788" s="40"/>
    </row>
    <row r="789" ht="14.25" customHeight="1">
      <c r="A789" s="40"/>
    </row>
    <row r="790" ht="14.25" customHeight="1">
      <c r="A790" s="40"/>
    </row>
    <row r="791" ht="14.25" customHeight="1">
      <c r="A791" s="40"/>
    </row>
    <row r="792" ht="14.25" customHeight="1">
      <c r="A792" s="40"/>
    </row>
    <row r="793" ht="14.25" customHeight="1">
      <c r="A793" s="40"/>
    </row>
    <row r="794" ht="14.25" customHeight="1">
      <c r="A794" s="40"/>
    </row>
    <row r="795" ht="14.25" customHeight="1">
      <c r="A795" s="40"/>
    </row>
    <row r="796" ht="14.25" customHeight="1">
      <c r="A796" s="40"/>
    </row>
    <row r="797" ht="14.25" customHeight="1">
      <c r="A797" s="40"/>
    </row>
    <row r="798" ht="14.25" customHeight="1">
      <c r="A798" s="40"/>
    </row>
    <row r="799" ht="14.25" customHeight="1">
      <c r="A799" s="40"/>
    </row>
    <row r="800" ht="14.25" customHeight="1">
      <c r="A800" s="40"/>
    </row>
    <row r="801" ht="14.25" customHeight="1">
      <c r="A801" s="40"/>
    </row>
    <row r="802" ht="14.25" customHeight="1">
      <c r="A802" s="40"/>
    </row>
    <row r="803" ht="14.25" customHeight="1">
      <c r="A803" s="40"/>
    </row>
    <row r="804" ht="14.25" customHeight="1">
      <c r="A804" s="40"/>
    </row>
    <row r="805" ht="14.25" customHeight="1">
      <c r="A805" s="40"/>
    </row>
    <row r="806" ht="14.25" customHeight="1">
      <c r="A806" s="40"/>
    </row>
    <row r="807" ht="14.25" customHeight="1">
      <c r="A807" s="40"/>
    </row>
    <row r="808" ht="14.25" customHeight="1">
      <c r="A808" s="40"/>
    </row>
    <row r="809" ht="14.25" customHeight="1">
      <c r="A809" s="40"/>
    </row>
    <row r="810" ht="14.25" customHeight="1">
      <c r="A810" s="40"/>
    </row>
    <row r="811" ht="14.25" customHeight="1">
      <c r="A811" s="40"/>
    </row>
    <row r="812" ht="14.25" customHeight="1">
      <c r="A812" s="40"/>
    </row>
    <row r="813" ht="14.25" customHeight="1">
      <c r="A813" s="40"/>
    </row>
    <row r="814" ht="14.25" customHeight="1">
      <c r="A814" s="40"/>
    </row>
    <row r="815" ht="14.25" customHeight="1">
      <c r="A815" s="40"/>
    </row>
    <row r="816" ht="14.25" customHeight="1">
      <c r="A816" s="40"/>
    </row>
    <row r="817" ht="14.25" customHeight="1">
      <c r="A817" s="40"/>
    </row>
    <row r="818" ht="14.25" customHeight="1">
      <c r="A818" s="40"/>
    </row>
    <row r="819" ht="14.25" customHeight="1">
      <c r="A819" s="40"/>
    </row>
    <row r="820" ht="14.25" customHeight="1">
      <c r="A820" s="40"/>
    </row>
    <row r="821" ht="14.25" customHeight="1">
      <c r="A821" s="40"/>
    </row>
    <row r="822" ht="14.25" customHeight="1">
      <c r="A822" s="40"/>
    </row>
    <row r="823" ht="14.25" customHeight="1">
      <c r="A823" s="40"/>
    </row>
    <row r="824" ht="14.25" customHeight="1">
      <c r="A824" s="40"/>
    </row>
    <row r="825" ht="14.25" customHeight="1">
      <c r="A825" s="40"/>
    </row>
    <row r="826" ht="14.25" customHeight="1">
      <c r="A826" s="40"/>
    </row>
    <row r="827" ht="14.25" customHeight="1">
      <c r="A827" s="40"/>
    </row>
    <row r="828" ht="14.25" customHeight="1">
      <c r="A828" s="40"/>
    </row>
    <row r="829" ht="14.25" customHeight="1">
      <c r="A829" s="40"/>
    </row>
    <row r="830" ht="14.25" customHeight="1">
      <c r="A830" s="40"/>
    </row>
    <row r="831" ht="14.25" customHeight="1">
      <c r="A831" s="40"/>
    </row>
    <row r="832" ht="14.25" customHeight="1">
      <c r="A832" s="40"/>
    </row>
    <row r="833" ht="14.25" customHeight="1">
      <c r="A833" s="40"/>
    </row>
    <row r="834" ht="14.25" customHeight="1">
      <c r="A834" s="40"/>
    </row>
    <row r="835" ht="14.25" customHeight="1">
      <c r="A835" s="40"/>
    </row>
    <row r="836" ht="14.25" customHeight="1">
      <c r="A836" s="40"/>
    </row>
    <row r="837" ht="14.25" customHeight="1">
      <c r="A837" s="40"/>
    </row>
    <row r="838" ht="14.25" customHeight="1">
      <c r="A838" s="40"/>
    </row>
    <row r="839" ht="14.25" customHeight="1">
      <c r="A839" s="40"/>
    </row>
    <row r="840" ht="14.25" customHeight="1">
      <c r="A840" s="40"/>
    </row>
    <row r="841" ht="14.25" customHeight="1">
      <c r="A841" s="40"/>
    </row>
    <row r="842" ht="14.25" customHeight="1">
      <c r="A842" s="40"/>
    </row>
    <row r="843" ht="14.25" customHeight="1">
      <c r="A843" s="40"/>
    </row>
    <row r="844" ht="14.25" customHeight="1">
      <c r="A844" s="40"/>
    </row>
    <row r="845" ht="14.25" customHeight="1">
      <c r="A845" s="40"/>
    </row>
    <row r="846" ht="14.25" customHeight="1">
      <c r="A846" s="40"/>
    </row>
    <row r="847" ht="14.25" customHeight="1">
      <c r="A847" s="40"/>
    </row>
    <row r="848" ht="14.25" customHeight="1">
      <c r="A848" s="40"/>
    </row>
    <row r="849" ht="14.25" customHeight="1">
      <c r="A849" s="40"/>
    </row>
    <row r="850" ht="14.25" customHeight="1">
      <c r="A850" s="40"/>
    </row>
    <row r="851" ht="14.25" customHeight="1">
      <c r="A851" s="40"/>
    </row>
    <row r="852" ht="14.25" customHeight="1">
      <c r="A852" s="40"/>
    </row>
    <row r="853" ht="14.25" customHeight="1">
      <c r="A853" s="40"/>
    </row>
    <row r="854" ht="14.25" customHeight="1">
      <c r="A854" s="40"/>
    </row>
    <row r="855" ht="14.25" customHeight="1">
      <c r="A855" s="40"/>
    </row>
    <row r="856" ht="14.25" customHeight="1">
      <c r="A856" s="40"/>
    </row>
    <row r="857" ht="14.25" customHeight="1">
      <c r="A857" s="40"/>
    </row>
    <row r="858" ht="14.25" customHeight="1">
      <c r="A858" s="40"/>
    </row>
    <row r="859" ht="14.25" customHeight="1">
      <c r="A859" s="40"/>
    </row>
    <row r="860" ht="14.25" customHeight="1">
      <c r="A860" s="40"/>
    </row>
    <row r="861" ht="14.25" customHeight="1">
      <c r="A861" s="40"/>
    </row>
    <row r="862" ht="14.25" customHeight="1">
      <c r="A862" s="40"/>
    </row>
    <row r="863" ht="14.25" customHeight="1">
      <c r="A863" s="40"/>
    </row>
    <row r="864" ht="14.25" customHeight="1">
      <c r="A864" s="40"/>
    </row>
    <row r="865" ht="14.25" customHeight="1">
      <c r="A865" s="40"/>
    </row>
    <row r="866" ht="14.25" customHeight="1">
      <c r="A866" s="40"/>
    </row>
    <row r="867" ht="14.25" customHeight="1">
      <c r="A867" s="40"/>
    </row>
    <row r="868" ht="14.25" customHeight="1">
      <c r="A868" s="40"/>
    </row>
    <row r="869" ht="14.25" customHeight="1">
      <c r="A869" s="40"/>
    </row>
    <row r="870" ht="14.25" customHeight="1">
      <c r="A870" s="40"/>
    </row>
    <row r="871" ht="14.25" customHeight="1">
      <c r="A871" s="40"/>
    </row>
    <row r="872" ht="14.25" customHeight="1">
      <c r="A872" s="40"/>
    </row>
    <row r="873" ht="14.25" customHeight="1">
      <c r="A873" s="40"/>
    </row>
    <row r="874" ht="14.25" customHeight="1">
      <c r="A874" s="40"/>
    </row>
    <row r="875" ht="14.25" customHeight="1">
      <c r="A875" s="40"/>
    </row>
    <row r="876" ht="14.25" customHeight="1">
      <c r="A876" s="40"/>
    </row>
    <row r="877" ht="14.25" customHeight="1">
      <c r="A877" s="40"/>
    </row>
    <row r="878" ht="14.25" customHeight="1">
      <c r="A878" s="40"/>
    </row>
    <row r="879" ht="14.25" customHeight="1">
      <c r="A879" s="40"/>
    </row>
    <row r="880" ht="14.25" customHeight="1">
      <c r="A880" s="40"/>
    </row>
    <row r="881" ht="14.25" customHeight="1">
      <c r="A881" s="40"/>
    </row>
    <row r="882" ht="14.25" customHeight="1">
      <c r="A882" s="40"/>
    </row>
    <row r="883" ht="14.25" customHeight="1">
      <c r="A883" s="40"/>
    </row>
    <row r="884" ht="14.25" customHeight="1">
      <c r="A884" s="40"/>
    </row>
    <row r="885" ht="14.25" customHeight="1">
      <c r="A885" s="40"/>
    </row>
    <row r="886" ht="14.25" customHeight="1">
      <c r="A886" s="40"/>
    </row>
    <row r="887" ht="14.25" customHeight="1">
      <c r="A887" s="40"/>
    </row>
    <row r="888" ht="14.25" customHeight="1">
      <c r="A888" s="40"/>
    </row>
    <row r="889" ht="14.25" customHeight="1">
      <c r="A889" s="40"/>
    </row>
    <row r="890" ht="14.25" customHeight="1">
      <c r="A890" s="40"/>
    </row>
    <row r="891" ht="14.25" customHeight="1">
      <c r="A891" s="40"/>
    </row>
    <row r="892" ht="14.25" customHeight="1">
      <c r="A892" s="40"/>
    </row>
    <row r="893" ht="14.25" customHeight="1">
      <c r="A893" s="40"/>
    </row>
    <row r="894" ht="14.25" customHeight="1">
      <c r="A894" s="40"/>
    </row>
    <row r="895" ht="14.25" customHeight="1">
      <c r="A895" s="40"/>
    </row>
    <row r="896" ht="14.25" customHeight="1">
      <c r="A896" s="40"/>
    </row>
    <row r="897" ht="14.25" customHeight="1">
      <c r="A897" s="40"/>
    </row>
    <row r="898" ht="14.25" customHeight="1">
      <c r="A898" s="40"/>
    </row>
    <row r="899" ht="14.25" customHeight="1">
      <c r="A899" s="40"/>
    </row>
    <row r="900" ht="14.25" customHeight="1">
      <c r="A900" s="40"/>
    </row>
    <row r="901" ht="14.25" customHeight="1">
      <c r="A901" s="40"/>
    </row>
    <row r="902" ht="14.25" customHeight="1">
      <c r="A902" s="40"/>
    </row>
    <row r="903" ht="14.25" customHeight="1">
      <c r="A903" s="40"/>
    </row>
    <row r="904" ht="14.25" customHeight="1">
      <c r="A904" s="40"/>
    </row>
    <row r="905" ht="14.25" customHeight="1">
      <c r="A905" s="40"/>
    </row>
    <row r="906" ht="14.25" customHeight="1">
      <c r="A906" s="40"/>
    </row>
    <row r="907" ht="14.25" customHeight="1">
      <c r="A907" s="40"/>
    </row>
    <row r="908" ht="14.25" customHeight="1">
      <c r="A908" s="40"/>
    </row>
    <row r="909" ht="14.25" customHeight="1">
      <c r="A909" s="40"/>
    </row>
    <row r="910" ht="14.25" customHeight="1">
      <c r="A910" s="40"/>
    </row>
    <row r="911" ht="14.25" customHeight="1">
      <c r="A911" s="40"/>
    </row>
    <row r="912" ht="14.25" customHeight="1">
      <c r="A912" s="40"/>
    </row>
    <row r="913" ht="14.25" customHeight="1">
      <c r="A913" s="40"/>
    </row>
    <row r="914" ht="14.25" customHeight="1">
      <c r="A914" s="40"/>
    </row>
    <row r="915" ht="14.25" customHeight="1">
      <c r="A915" s="40"/>
    </row>
    <row r="916" ht="14.25" customHeight="1">
      <c r="A916" s="40"/>
    </row>
    <row r="917" ht="14.25" customHeight="1">
      <c r="A917" s="40"/>
    </row>
    <row r="918" ht="14.25" customHeight="1">
      <c r="A918" s="40"/>
    </row>
    <row r="919" ht="14.25" customHeight="1">
      <c r="A919" s="40"/>
    </row>
    <row r="920" ht="14.25" customHeight="1">
      <c r="A920" s="40"/>
    </row>
    <row r="921" ht="14.25" customHeight="1">
      <c r="A921" s="40"/>
    </row>
    <row r="922" ht="14.25" customHeight="1">
      <c r="A922" s="40"/>
    </row>
    <row r="923" ht="14.25" customHeight="1">
      <c r="A923" s="40"/>
    </row>
    <row r="924" ht="14.25" customHeight="1">
      <c r="A924" s="40"/>
    </row>
    <row r="925" ht="14.25" customHeight="1">
      <c r="A925" s="40"/>
    </row>
    <row r="926" ht="14.25" customHeight="1">
      <c r="A926" s="40"/>
    </row>
    <row r="927" ht="14.25" customHeight="1">
      <c r="A927" s="40"/>
    </row>
    <row r="928" ht="14.25" customHeight="1">
      <c r="A928" s="40"/>
    </row>
    <row r="929" ht="14.25" customHeight="1">
      <c r="A929" s="40"/>
    </row>
    <row r="930" ht="14.25" customHeight="1">
      <c r="A930" s="40"/>
    </row>
    <row r="931" ht="14.25" customHeight="1">
      <c r="A931" s="40"/>
    </row>
    <row r="932" ht="14.25" customHeight="1">
      <c r="A932" s="40"/>
    </row>
    <row r="933" ht="14.25" customHeight="1">
      <c r="A933" s="40"/>
    </row>
    <row r="934" ht="14.25" customHeight="1">
      <c r="A934" s="40"/>
    </row>
    <row r="935" ht="14.25" customHeight="1">
      <c r="A935" s="40"/>
    </row>
    <row r="936" ht="14.25" customHeight="1">
      <c r="A936" s="40"/>
    </row>
    <row r="937" ht="14.25" customHeight="1">
      <c r="A937" s="40"/>
    </row>
    <row r="938" ht="14.25" customHeight="1">
      <c r="A938" s="40"/>
    </row>
    <row r="939" ht="14.25" customHeight="1">
      <c r="A939" s="40"/>
    </row>
    <row r="940" ht="14.25" customHeight="1">
      <c r="A940" s="40"/>
    </row>
    <row r="941" ht="14.25" customHeight="1">
      <c r="A941" s="40"/>
    </row>
    <row r="942" ht="14.25" customHeight="1">
      <c r="A942" s="40"/>
    </row>
    <row r="943" ht="14.25" customHeight="1">
      <c r="A943" s="40"/>
    </row>
    <row r="944" ht="14.25" customHeight="1">
      <c r="A944" s="40"/>
    </row>
    <row r="945" ht="14.25" customHeight="1">
      <c r="A945" s="40"/>
    </row>
    <row r="946" ht="14.25" customHeight="1">
      <c r="A946" s="40"/>
    </row>
    <row r="947" ht="14.25" customHeight="1">
      <c r="A947" s="40"/>
    </row>
    <row r="948" ht="14.25" customHeight="1">
      <c r="A948" s="40"/>
    </row>
    <row r="949" ht="14.25" customHeight="1">
      <c r="A949" s="40"/>
    </row>
    <row r="950" ht="14.25" customHeight="1">
      <c r="A950" s="40"/>
    </row>
    <row r="951" ht="14.25" customHeight="1">
      <c r="A951" s="40"/>
    </row>
    <row r="952" ht="14.25" customHeight="1">
      <c r="A952" s="40"/>
    </row>
    <row r="953" ht="14.25" customHeight="1">
      <c r="A953" s="40"/>
    </row>
    <row r="954" ht="14.25" customHeight="1">
      <c r="A954" s="40"/>
    </row>
    <row r="955" ht="14.25" customHeight="1">
      <c r="A955" s="40"/>
    </row>
    <row r="956" ht="14.25" customHeight="1">
      <c r="A956" s="40"/>
    </row>
    <row r="957" ht="14.25" customHeight="1">
      <c r="A957" s="40"/>
    </row>
    <row r="958" ht="14.25" customHeight="1">
      <c r="A958" s="40"/>
    </row>
    <row r="959" ht="14.25" customHeight="1">
      <c r="A959" s="40"/>
    </row>
    <row r="960" ht="14.25" customHeight="1">
      <c r="A960" s="40"/>
    </row>
    <row r="961" ht="14.25" customHeight="1">
      <c r="A961" s="40"/>
    </row>
    <row r="962" ht="14.25" customHeight="1">
      <c r="A962" s="40"/>
    </row>
    <row r="963" ht="14.25" customHeight="1">
      <c r="A963" s="40"/>
    </row>
    <row r="964" ht="14.25" customHeight="1">
      <c r="A964" s="40"/>
    </row>
    <row r="965" ht="14.25" customHeight="1">
      <c r="A965" s="40"/>
    </row>
    <row r="966" ht="14.25" customHeight="1">
      <c r="A966" s="40"/>
    </row>
    <row r="967" ht="14.25" customHeight="1">
      <c r="A967" s="40"/>
    </row>
    <row r="968" ht="14.25" customHeight="1">
      <c r="A968" s="40"/>
    </row>
    <row r="969" ht="14.25" customHeight="1">
      <c r="A969" s="40"/>
    </row>
    <row r="970" ht="14.25" customHeight="1">
      <c r="A970" s="40"/>
    </row>
    <row r="971" ht="14.25" customHeight="1">
      <c r="A971" s="40"/>
    </row>
    <row r="972" ht="14.25" customHeight="1">
      <c r="A972" s="40"/>
    </row>
    <row r="973" ht="14.25" customHeight="1">
      <c r="A973" s="40"/>
    </row>
    <row r="974" ht="14.25" customHeight="1">
      <c r="A974" s="40"/>
    </row>
    <row r="975" ht="14.25" customHeight="1">
      <c r="A975" s="40"/>
    </row>
    <row r="976" ht="14.25" customHeight="1">
      <c r="A976" s="40"/>
    </row>
    <row r="977" ht="14.25" customHeight="1">
      <c r="A977" s="40"/>
    </row>
    <row r="978" ht="14.25" customHeight="1">
      <c r="A978" s="40"/>
    </row>
    <row r="979" ht="14.25" customHeight="1">
      <c r="A979" s="40"/>
    </row>
    <row r="980" ht="14.25" customHeight="1">
      <c r="A980" s="40"/>
    </row>
    <row r="981" ht="14.25" customHeight="1">
      <c r="A981" s="40"/>
    </row>
    <row r="982" ht="14.25" customHeight="1">
      <c r="A982" s="40"/>
    </row>
    <row r="983" ht="14.25" customHeight="1">
      <c r="A983" s="40"/>
    </row>
    <row r="984" ht="14.25" customHeight="1">
      <c r="A984" s="40"/>
    </row>
    <row r="985" ht="14.25" customHeight="1">
      <c r="A985" s="40"/>
    </row>
    <row r="986" ht="14.25" customHeight="1">
      <c r="A986" s="40"/>
    </row>
    <row r="987" ht="14.25" customHeight="1">
      <c r="A987" s="40"/>
    </row>
    <row r="988" ht="14.25" customHeight="1">
      <c r="A988" s="40"/>
    </row>
    <row r="989" ht="14.25" customHeight="1">
      <c r="A989" s="40"/>
    </row>
    <row r="990" ht="14.25" customHeight="1">
      <c r="A990" s="40"/>
    </row>
    <row r="991" ht="14.25" customHeight="1">
      <c r="A991" s="40"/>
    </row>
    <row r="992" ht="14.25" customHeight="1">
      <c r="A992" s="40"/>
    </row>
    <row r="993" ht="14.25" customHeight="1">
      <c r="A993" s="40"/>
    </row>
    <row r="994" ht="14.25" customHeight="1">
      <c r="A994" s="40"/>
    </row>
    <row r="995" ht="14.25" customHeight="1">
      <c r="A995" s="40"/>
    </row>
    <row r="996" ht="14.25" customHeight="1">
      <c r="A996" s="40"/>
    </row>
    <row r="997" ht="14.25" customHeight="1">
      <c r="A997" s="40"/>
    </row>
    <row r="998" ht="14.25" customHeight="1">
      <c r="A998" s="40"/>
    </row>
    <row r="999" ht="14.25" customHeight="1">
      <c r="A999" s="40"/>
    </row>
    <row r="1000" ht="14.25" customHeight="1">
      <c r="A1000" s="40"/>
    </row>
  </sheetData>
  <mergeCells count="4">
    <mergeCell ref="B2:Z2"/>
    <mergeCell ref="AB2:AU2"/>
    <mergeCell ref="B18:Z18"/>
    <mergeCell ref="D35:F42"/>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6" width="8.71"/>
    <col customWidth="1" min="7" max="7" width="2.29"/>
    <col customWidth="1" min="8" max="11" width="11.71"/>
    <col customWidth="1" min="12" max="12" width="2.29"/>
    <col customWidth="1" min="13" max="24" width="8.71"/>
    <col customWidth="1" min="25" max="25" width="19.14"/>
    <col customWidth="1" min="26" max="26" width="8.71"/>
  </cols>
  <sheetData>
    <row r="1" ht="14.25" customHeight="1"/>
    <row r="2" ht="15.0" customHeight="1">
      <c r="B2" s="5" t="s">
        <v>49</v>
      </c>
      <c r="C2" s="6"/>
      <c r="D2" s="6"/>
      <c r="E2" s="6"/>
      <c r="F2" s="6"/>
      <c r="G2" s="6"/>
      <c r="H2" s="6"/>
      <c r="I2" s="6"/>
      <c r="J2" s="6"/>
      <c r="K2" s="6"/>
      <c r="L2" s="6"/>
      <c r="M2" s="6"/>
      <c r="N2" s="6"/>
      <c r="O2" s="6"/>
      <c r="P2" s="6"/>
      <c r="Q2" s="6"/>
      <c r="R2" s="6"/>
      <c r="S2" s="6"/>
      <c r="T2" s="6"/>
      <c r="U2" s="6"/>
      <c r="V2" s="6"/>
      <c r="W2" s="6"/>
      <c r="X2" s="6"/>
      <c r="Y2" s="6"/>
      <c r="Z2" s="7"/>
    </row>
    <row r="3" ht="14.25" customHeight="1">
      <c r="B3" s="9"/>
      <c r="Z3" s="10"/>
    </row>
    <row r="4" ht="14.25" customHeight="1">
      <c r="B4" s="9"/>
      <c r="Z4" s="10"/>
    </row>
    <row r="5" ht="14.25" customHeight="1">
      <c r="B5" s="9"/>
      <c r="Z5" s="10"/>
    </row>
    <row r="6" ht="14.25" customHeight="1">
      <c r="B6" s="9"/>
      <c r="Z6" s="10"/>
    </row>
    <row r="7" ht="14.25" customHeight="1">
      <c r="B7" s="9"/>
      <c r="Z7" s="10"/>
    </row>
    <row r="8" ht="14.25" customHeight="1">
      <c r="B8" s="9"/>
      <c r="Z8" s="10"/>
    </row>
    <row r="9" ht="14.25" customHeight="1">
      <c r="B9" s="9"/>
      <c r="Z9" s="10"/>
    </row>
    <row r="10" ht="14.25" customHeight="1">
      <c r="B10" s="9"/>
      <c r="Z10" s="10"/>
    </row>
    <row r="11" ht="14.25" customHeight="1">
      <c r="B11" s="9"/>
      <c r="Z11" s="10"/>
    </row>
    <row r="12" ht="14.25" customHeight="1">
      <c r="B12" s="9"/>
      <c r="Z12" s="10"/>
    </row>
    <row r="13" ht="14.25" customHeight="1">
      <c r="B13" s="9"/>
      <c r="Z13" s="10"/>
    </row>
    <row r="14" ht="14.25" customHeight="1">
      <c r="B14" s="9"/>
      <c r="Z14" s="10"/>
    </row>
    <row r="15" ht="14.25" customHeight="1">
      <c r="B15" s="9"/>
      <c r="Z15" s="10"/>
    </row>
    <row r="16" ht="14.25" customHeight="1">
      <c r="B16" s="9"/>
      <c r="Z16" s="10"/>
    </row>
    <row r="17" ht="14.25" customHeight="1">
      <c r="B17" s="9"/>
      <c r="Z17" s="10"/>
    </row>
    <row r="18" ht="14.25" customHeight="1">
      <c r="B18" s="9"/>
      <c r="Z18" s="10"/>
    </row>
    <row r="19" ht="14.25" customHeight="1">
      <c r="B19" s="11"/>
      <c r="C19" s="12"/>
      <c r="D19" s="12"/>
      <c r="E19" s="12"/>
      <c r="F19" s="12"/>
      <c r="G19" s="12"/>
      <c r="H19" s="12"/>
      <c r="I19" s="12"/>
      <c r="J19" s="12"/>
      <c r="K19" s="12"/>
      <c r="L19" s="12"/>
      <c r="M19" s="12"/>
      <c r="N19" s="12"/>
      <c r="O19" s="12"/>
      <c r="P19" s="12"/>
      <c r="Q19" s="12"/>
      <c r="R19" s="12"/>
      <c r="S19" s="12"/>
      <c r="T19" s="12"/>
      <c r="U19" s="12"/>
      <c r="V19" s="12"/>
      <c r="W19" s="12"/>
      <c r="X19" s="12"/>
      <c r="Y19" s="12"/>
      <c r="Z19" s="13"/>
    </row>
    <row r="20" ht="14.25" customHeight="1">
      <c r="A20" s="70"/>
      <c r="B20" s="70"/>
      <c r="C20" s="70"/>
      <c r="D20" s="70"/>
      <c r="E20" s="70"/>
      <c r="F20" s="70"/>
      <c r="G20" s="70"/>
      <c r="H20" s="70"/>
      <c r="I20" s="70"/>
      <c r="J20" s="70"/>
      <c r="K20" s="70"/>
      <c r="L20" s="70"/>
      <c r="M20" s="70"/>
      <c r="N20" s="70"/>
      <c r="O20" s="70"/>
      <c r="P20" s="70"/>
      <c r="Q20" s="70"/>
      <c r="R20" s="71"/>
      <c r="S20" s="71"/>
      <c r="T20" s="71"/>
      <c r="U20" s="71"/>
      <c r="V20" s="71"/>
      <c r="W20" s="71"/>
      <c r="X20" s="71"/>
      <c r="Y20" s="70"/>
      <c r="Z20" s="70"/>
    </row>
    <row r="21" ht="14.25" customHeight="1"/>
    <row r="22" ht="14.25" customHeight="1">
      <c r="H22" s="72" t="s">
        <v>50</v>
      </c>
      <c r="I22" s="73">
        <v>1.0</v>
      </c>
      <c r="J22" s="73"/>
      <c r="K22" s="74"/>
      <c r="M22" s="75" t="s">
        <v>51</v>
      </c>
      <c r="N22" s="54"/>
      <c r="O22" s="54"/>
      <c r="P22" s="54"/>
      <c r="Q22" s="54"/>
      <c r="R22" s="54"/>
      <c r="S22" s="54"/>
      <c r="T22" s="54"/>
      <c r="U22" s="54"/>
      <c r="V22" s="55"/>
      <c r="W22" s="76" t="s">
        <v>52</v>
      </c>
      <c r="X22" s="77"/>
      <c r="Y22" s="76" t="s">
        <v>53</v>
      </c>
      <c r="Z22" s="77"/>
    </row>
    <row r="23" ht="14.25" customHeight="1">
      <c r="H23" s="78" t="s">
        <v>54</v>
      </c>
      <c r="I23" s="79">
        <f>'Raw Data'!B9</f>
        <v>4</v>
      </c>
      <c r="J23" s="80" t="s">
        <v>55</v>
      </c>
      <c r="K23" s="81">
        <v>0.0</v>
      </c>
      <c r="M23" s="58" t="s">
        <v>56</v>
      </c>
      <c r="N23" s="27"/>
      <c r="O23" s="58" t="s">
        <v>57</v>
      </c>
      <c r="P23" s="27"/>
      <c r="Q23" s="58" t="s">
        <v>58</v>
      </c>
      <c r="R23" s="27"/>
      <c r="S23" s="58" t="s">
        <v>59</v>
      </c>
      <c r="T23" s="27"/>
      <c r="U23" s="58" t="s">
        <v>60</v>
      </c>
      <c r="V23" s="27"/>
      <c r="W23" s="82"/>
      <c r="X23" s="83"/>
      <c r="Y23" s="82"/>
      <c r="Z23" s="83"/>
    </row>
    <row r="24" ht="14.25" customHeight="1">
      <c r="H24" s="78" t="s">
        <v>61</v>
      </c>
      <c r="I24" s="79">
        <f>'Raw Data'!B10</f>
        <v>8</v>
      </c>
      <c r="J24" s="80" t="s">
        <v>62</v>
      </c>
      <c r="K24" s="81">
        <v>1.0</v>
      </c>
      <c r="M24" s="84" t="s">
        <v>63</v>
      </c>
      <c r="N24" s="85" t="s">
        <v>64</v>
      </c>
      <c r="O24" s="84" t="s">
        <v>63</v>
      </c>
      <c r="P24" s="85" t="s">
        <v>64</v>
      </c>
      <c r="Q24" s="84" t="s">
        <v>63</v>
      </c>
      <c r="R24" s="85" t="s">
        <v>64</v>
      </c>
      <c r="S24" s="84" t="s">
        <v>63</v>
      </c>
      <c r="T24" s="85" t="s">
        <v>64</v>
      </c>
      <c r="U24" s="84" t="s">
        <v>63</v>
      </c>
      <c r="V24" s="85" t="s">
        <v>64</v>
      </c>
      <c r="W24" s="86" t="s">
        <v>65</v>
      </c>
      <c r="X24" s="86" t="s">
        <v>66</v>
      </c>
      <c r="Y24" s="86" t="s">
        <v>67</v>
      </c>
      <c r="Z24" s="87" t="s">
        <v>68</v>
      </c>
    </row>
    <row r="25" ht="14.25" customHeight="1">
      <c r="H25" s="88"/>
      <c r="I25" s="89"/>
      <c r="J25" s="90" t="s">
        <v>69</v>
      </c>
      <c r="K25" s="91">
        <v>4.0</v>
      </c>
      <c r="M25" s="92">
        <f>K23</f>
        <v>0</v>
      </c>
      <c r="N25" s="93">
        <f>K24</f>
        <v>1</v>
      </c>
      <c r="O25" s="93">
        <f>K23</f>
        <v>0</v>
      </c>
      <c r="P25" s="93">
        <f>K24</f>
        <v>1</v>
      </c>
      <c r="Q25" s="93">
        <f>K23</f>
        <v>0</v>
      </c>
      <c r="R25" s="93">
        <f>K24</f>
        <v>1</v>
      </c>
      <c r="S25" s="93">
        <f>K23</f>
        <v>0</v>
      </c>
      <c r="T25" s="93">
        <f>K24</f>
        <v>1</v>
      </c>
      <c r="U25" s="93">
        <f>K23</f>
        <v>0</v>
      </c>
      <c r="V25" s="94">
        <f>K24</f>
        <v>1</v>
      </c>
      <c r="W25" s="95"/>
      <c r="X25" s="95"/>
      <c r="Y25" s="96"/>
      <c r="Z25" s="97"/>
    </row>
    <row r="26" ht="14.25" customHeight="1">
      <c r="H26" s="63" t="s">
        <v>70</v>
      </c>
      <c r="I26" s="63" t="s">
        <v>68</v>
      </c>
      <c r="M26" s="98">
        <f>M25+(M35-M25)/10</f>
        <v>0.1</v>
      </c>
      <c r="N26" s="61">
        <f>N25-(N25-N35)/10</f>
        <v>0.9</v>
      </c>
      <c r="O26" s="61">
        <f>(1 - POWER(0.9,K25)) * (K24-K23) + K23</f>
        <v>0.3439</v>
      </c>
      <c r="P26" s="61">
        <f>(1 - POWER(0.1,K25)) * (K24-K23) + K23</f>
        <v>0.9999</v>
      </c>
      <c r="Q26" s="61">
        <f>POWER(0.1,K25) * (K24-K23)+K23</f>
        <v>0.0001</v>
      </c>
      <c r="R26" s="61">
        <f>POWER(0.9,K25) * (K24-K23)+K23</f>
        <v>0.6561</v>
      </c>
      <c r="S26" s="61">
        <f>(1 / (1 + EXP(-K25*(-0.4)))) * (K24-K23) + K23</f>
        <v>0.1679816149</v>
      </c>
      <c r="T26" s="61">
        <f>(1 / (1 + EXP(-K25*(0.4)))) * (K24-K23) + K23</f>
        <v>0.8320183851</v>
      </c>
      <c r="U26" s="61">
        <f>(1 / (1 + EXP(-K25*(0.1))) - 0.5) * (K24-K23) + K23</f>
        <v>0.09868766011</v>
      </c>
      <c r="V26" s="99">
        <f>(1 / (1 + EXP(-K25*(-0.1))) + 0.5) * (K24-K23) + K23</f>
        <v>0.9013123399</v>
      </c>
      <c r="W26" s="100"/>
      <c r="X26" s="100"/>
      <c r="Y26" s="101"/>
      <c r="Z26" s="102"/>
    </row>
    <row r="27" ht="14.25" customHeight="1">
      <c r="H27" s="103">
        <f>I23</f>
        <v>4</v>
      </c>
      <c r="I27" s="61">
        <f>OFFSET(L25,0,I22,1,1)</f>
        <v>0</v>
      </c>
      <c r="M27" s="98">
        <f>M26+(M35-M25)/10</f>
        <v>0.2</v>
      </c>
      <c r="N27" s="61">
        <f>N26-(N25-N35)/10</f>
        <v>0.8</v>
      </c>
      <c r="O27" s="61">
        <f>(1 - POWER(0.8,K25)) * (K24-K23) + K23</f>
        <v>0.5904</v>
      </c>
      <c r="P27" s="61">
        <f>(1 - POWER(0.2,K25)) * (K24-K23) + K23</f>
        <v>0.9984</v>
      </c>
      <c r="Q27" s="61">
        <f>POWER(0.2,K25) * (K24-K23)+K23</f>
        <v>0.0016</v>
      </c>
      <c r="R27" s="61">
        <f>POWER(0.8,K25) * (K24-K23)+K23</f>
        <v>0.4096</v>
      </c>
      <c r="S27" s="61">
        <f>(1 / (1 + EXP(-K25*(-0.3)))) * (K24-K23) + K23</f>
        <v>0.2314752165</v>
      </c>
      <c r="T27" s="61">
        <f>(1 / (1 + EXP(-K25*(0.3)))) * (K24-K23) + K23</f>
        <v>0.7685247835</v>
      </c>
      <c r="U27" s="61">
        <f>(1 / (1 + EXP(-K25*(0.2))) - 0.5) *  (K24-K23) + K23</f>
        <v>0.1899744811</v>
      </c>
      <c r="V27" s="99">
        <f>(1 / (1 + EXP(-K25*(-0.2))) + 0.5) * (K24-K23) + K23</f>
        <v>0.8100255189</v>
      </c>
      <c r="W27" s="100"/>
      <c r="X27" s="100"/>
      <c r="Y27" s="101"/>
      <c r="Z27" s="102"/>
    </row>
    <row r="28" ht="14.25" customHeight="1">
      <c r="H28" s="103">
        <f>H27+(I24-I23)/10</f>
        <v>4.4</v>
      </c>
      <c r="I28" s="61">
        <f>OFFSET(L26,0,I22,1,1)</f>
        <v>0.1</v>
      </c>
      <c r="M28" s="98">
        <f>M27+(M35-M25)/10</f>
        <v>0.3</v>
      </c>
      <c r="N28" s="61">
        <f>N27-(N25-N35)/10</f>
        <v>0.7</v>
      </c>
      <c r="O28" s="61">
        <f>(1 - POWER(0.7,K25)) * (K24-K23) + K23</f>
        <v>0.7599</v>
      </c>
      <c r="P28" s="61">
        <f>(1 - POWER(0.3,K25)) * (K24-K23) + K23</f>
        <v>0.9919</v>
      </c>
      <c r="Q28" s="61">
        <f>POWER(0.3,K25) * (K24-K23)+K23</f>
        <v>0.0081</v>
      </c>
      <c r="R28" s="61">
        <f>POWER(0.7,K25) * (K24-K23)+K23</f>
        <v>0.2401</v>
      </c>
      <c r="S28" s="61">
        <f>(1 / (1 + EXP(-K25*(-0.2)))) * (K24-K23) + K23</f>
        <v>0.3100255189</v>
      </c>
      <c r="T28" s="61">
        <f>(1 / (1 + EXP(-K25*(0.2)))) * (K24-K23) + K23</f>
        <v>0.6899744811</v>
      </c>
      <c r="U28" s="61">
        <f>(1 / (1 + EXP(-K25*(0.3))) - 0.5) * (K24-K23) + K23</f>
        <v>0.2685247835</v>
      </c>
      <c r="V28" s="99">
        <f>(1 / (1 + EXP(-K25*(-0.3))) + 0.5) * (K24-K23) + K23</f>
        <v>0.7314752165</v>
      </c>
      <c r="W28" s="100"/>
      <c r="X28" s="100"/>
      <c r="Y28" s="101"/>
      <c r="Z28" s="102"/>
    </row>
    <row r="29" ht="14.25" customHeight="1">
      <c r="H29" s="103">
        <f>H28+(I24-I23)/10</f>
        <v>4.8</v>
      </c>
      <c r="I29" s="61">
        <f>OFFSET(L27,0,I22,1,1)</f>
        <v>0.2</v>
      </c>
      <c r="M29" s="98">
        <f>M28+(M35-M25)/10</f>
        <v>0.4</v>
      </c>
      <c r="N29" s="61">
        <f>N28-(N25-N35)/10</f>
        <v>0.6</v>
      </c>
      <c r="O29" s="61">
        <f>(1 - POWER(0.6,K25)) * (K24-K23) + K23</f>
        <v>0.8704</v>
      </c>
      <c r="P29" s="61">
        <f>(1 - POWER(0.4,K25)) * (K24-K23) + K23</f>
        <v>0.9744</v>
      </c>
      <c r="Q29" s="61">
        <f>POWER(0.4,K25) * (K24-K23)+K23</f>
        <v>0.0256</v>
      </c>
      <c r="R29" s="61">
        <f>POWER(0.6,K25) * (K24-K23)+K23</f>
        <v>0.1296</v>
      </c>
      <c r="S29" s="61">
        <f>(1 / (1 + EXP(-K25*(-0.1)))) * (K24-K23) + K23</f>
        <v>0.4013123399</v>
      </c>
      <c r="T29" s="61">
        <f>(1 / (1 + EXP(-K25*(0.1)))) * (K24-K23) + K23</f>
        <v>0.5986876601</v>
      </c>
      <c r="U29" s="61">
        <f>(1 / (1 + EXP(-K25*(0.4))) - 0.5) * (K24-K23) + K23</f>
        <v>0.3320183851</v>
      </c>
      <c r="V29" s="99">
        <f>(1 / (1 + EXP(-K25*(-0.4))) + 0.5) * (K24-K23) + K23</f>
        <v>0.6679816149</v>
      </c>
      <c r="W29" s="100"/>
      <c r="X29" s="100"/>
      <c r="Y29" s="101"/>
      <c r="Z29" s="102"/>
    </row>
    <row r="30" ht="14.25" customHeight="1">
      <c r="H30" s="103">
        <f>H29+(I24-I23)/10</f>
        <v>5.2</v>
      </c>
      <c r="I30" s="61">
        <f>OFFSET(L28,0,I22,1,1)</f>
        <v>0.3</v>
      </c>
      <c r="M30" s="98">
        <f>M29+(M35-M25)/10</f>
        <v>0.5</v>
      </c>
      <c r="N30" s="61">
        <f>N29-(N25-N35)/10</f>
        <v>0.5</v>
      </c>
      <c r="O30" s="61">
        <f>(1 - POWER(0.5,K25)) * (K24-K23) + K23</f>
        <v>0.9375</v>
      </c>
      <c r="P30" s="61">
        <f>(1 - POWER(0.5,K25)) * (K24-K23) + K23</f>
        <v>0.9375</v>
      </c>
      <c r="Q30" s="61">
        <f>POWER(0.5,K25) * (K24-K23)+K23</f>
        <v>0.0625</v>
      </c>
      <c r="R30" s="61">
        <f>POWER(0.5,K25) * (K24-K23)+K23</f>
        <v>0.0625</v>
      </c>
      <c r="S30" s="61">
        <f>(1 / (1 + EXP(-K25*(0)))) * (K24-K23) + K23</f>
        <v>0.5</v>
      </c>
      <c r="T30" s="61">
        <f>(1 / (1 + EXP(-K25*(0)))) * (K24-K23) + K23</f>
        <v>0.5</v>
      </c>
      <c r="U30" s="61">
        <f>(1 / (1 + EXP(-K25*(0.5))) - 0.5) * (K24-K23) + K23</f>
        <v>0.380797078</v>
      </c>
      <c r="V30" s="99">
        <f>(1 / (1 + EXP(-K25*(0.5))) - 0.5) * (K24-K23) + K23</f>
        <v>0.380797078</v>
      </c>
      <c r="W30" s="100"/>
      <c r="X30" s="100"/>
      <c r="Y30" s="101"/>
      <c r="Z30" s="102"/>
    </row>
    <row r="31" ht="14.25" customHeight="1">
      <c r="H31" s="103">
        <f>H30+(I24-I23)/10</f>
        <v>5.6</v>
      </c>
      <c r="I31" s="61">
        <f>OFFSET(L29,0,I22,1,1)</f>
        <v>0.4</v>
      </c>
      <c r="M31" s="98">
        <f>M30+(M35-M25)/10</f>
        <v>0.6</v>
      </c>
      <c r="N31" s="61">
        <f>N30-(N25-N35)/10</f>
        <v>0.4</v>
      </c>
      <c r="O31" s="61">
        <f>(1 - POWER(0.4,K25)) * (K24-K23) + K23</f>
        <v>0.9744</v>
      </c>
      <c r="P31" s="61">
        <f>(1 - POWER(0.6,K25)) * (K24-K23) + K23</f>
        <v>0.8704</v>
      </c>
      <c r="Q31" s="61">
        <f>POWER(0.6,K25) * (K24-K23)+K23</f>
        <v>0.1296</v>
      </c>
      <c r="R31" s="61">
        <f>POWER(0.4,K25) * (K24-K23)+K23</f>
        <v>0.0256</v>
      </c>
      <c r="S31" s="61">
        <f>(1 / (1 + EXP(-K25*(0.1)))) * (K24-K23) + K23</f>
        <v>0.5986876601</v>
      </c>
      <c r="T31" s="61">
        <f>(1 / (1 + EXP(-K25*(-0.1)))) * (K24-K23) + K23</f>
        <v>0.4013123399</v>
      </c>
      <c r="U31" s="61">
        <f>(1 / (1 + EXP(-K25*(-0.4))) + 0.5) * (K24-K23) + K23</f>
        <v>0.6679816149</v>
      </c>
      <c r="V31" s="99">
        <f>(1 / (1 + EXP(-K25*(0.4))) - 0.5) * (K24-K23) + K23</f>
        <v>0.3320183851</v>
      </c>
      <c r="W31" s="100"/>
      <c r="X31" s="100"/>
      <c r="Y31" s="101"/>
      <c r="Z31" s="102"/>
    </row>
    <row r="32" ht="14.25" customHeight="1">
      <c r="H32" s="103">
        <f>H31+(I24-I23)/10</f>
        <v>6</v>
      </c>
      <c r="I32" s="61">
        <f>OFFSET(L30,0,I22,1,1)</f>
        <v>0.5</v>
      </c>
      <c r="M32" s="98">
        <f>M31+(M35-M25)/10</f>
        <v>0.7</v>
      </c>
      <c r="N32" s="61">
        <f>N31-(N25-N35)/10</f>
        <v>0.3</v>
      </c>
      <c r="O32" s="61">
        <f>(1 - POWER(0.3,K25)) * (K24-K23) + K23</f>
        <v>0.9919</v>
      </c>
      <c r="P32" s="61">
        <f>(1 - POWER(0.7,K25)) * (K24-K23) + K23</f>
        <v>0.7599</v>
      </c>
      <c r="Q32" s="61">
        <f>POWER(0.7,K25) * (K24-K23)+K23</f>
        <v>0.2401</v>
      </c>
      <c r="R32" s="61">
        <f>POWER(0.3,K25) * (K24-K23)+K23</f>
        <v>0.0081</v>
      </c>
      <c r="S32" s="61">
        <f>(1 / (1 + EXP(-K25*(0.2)))) * (K24-K23) + K23</f>
        <v>0.6899744811</v>
      </c>
      <c r="T32" s="61">
        <f>(1 / (1 + EXP(-K25*(-0.2)))) * (K24-K23) + K23</f>
        <v>0.3100255189</v>
      </c>
      <c r="U32" s="61">
        <f>(1 / (1 + EXP(-K25*(-0.3))) + 0.5) * (K24-K23) + K23</f>
        <v>0.7314752165</v>
      </c>
      <c r="V32" s="99">
        <f>(1 / (1 + EXP(-K25*(0.3))) - 0.5) * (K24-K23) + K23</f>
        <v>0.2685247835</v>
      </c>
      <c r="W32" s="100"/>
      <c r="X32" s="100"/>
      <c r="Y32" s="101"/>
      <c r="Z32" s="102"/>
    </row>
    <row r="33" ht="14.25" customHeight="1">
      <c r="H33" s="103">
        <f>H32+(I24-I23)/10</f>
        <v>6.4</v>
      </c>
      <c r="I33" s="61">
        <f>OFFSET(L31,0,I22,1,1)</f>
        <v>0.6</v>
      </c>
      <c r="M33" s="98">
        <f>M32+(M35-M25)/10</f>
        <v>0.8</v>
      </c>
      <c r="N33" s="61">
        <f>N32-(N25-N35)/10</f>
        <v>0.2</v>
      </c>
      <c r="O33" s="61">
        <f>(1 - POWER(0.2,K25)) * (K24-K23) + K23</f>
        <v>0.9984</v>
      </c>
      <c r="P33" s="61">
        <f>(1 - POWER(0.8,K25)) * (K24-K23) + K23</f>
        <v>0.5904</v>
      </c>
      <c r="Q33" s="61">
        <f>POWER(0.8,K25) * (K24-K23)+K23</f>
        <v>0.4096</v>
      </c>
      <c r="R33" s="61">
        <f>POWER(0.2,K25) * (K24-K23)+K23</f>
        <v>0.0016</v>
      </c>
      <c r="S33" s="61">
        <f>(1 / (1 + EXP(-K25*(0.3)))) * (K24-K23) + K23</f>
        <v>0.7685247835</v>
      </c>
      <c r="T33" s="61">
        <f>(1 / (1 + EXP(-K25*(-0.3)))) * (K24-K23) + K23</f>
        <v>0.2314752165</v>
      </c>
      <c r="U33" s="61">
        <f>(1 / (1 + EXP(-K25*(-0.2))) + 0.5) * (K24-K23) + K23</f>
        <v>0.8100255189</v>
      </c>
      <c r="V33" s="99">
        <f>(1 / (1 + EXP(-K25*(0.2))) - 0.5) *  (K24-K23) + K23</f>
        <v>0.1899744811</v>
      </c>
      <c r="W33" s="100"/>
      <c r="X33" s="100"/>
      <c r="Y33" s="101"/>
      <c r="Z33" s="102"/>
    </row>
    <row r="34" ht="14.25" customHeight="1">
      <c r="H34" s="103">
        <f>H33+(I24-I23)/10</f>
        <v>6.8</v>
      </c>
      <c r="I34" s="61">
        <f>OFFSET(L32,0,I22,1,1)</f>
        <v>0.7</v>
      </c>
      <c r="M34" s="98">
        <f>M33+(M35-M25)/10</f>
        <v>0.9</v>
      </c>
      <c r="N34" s="61">
        <f>N33-(N25-N35)/10</f>
        <v>0.1</v>
      </c>
      <c r="O34" s="61">
        <f>(1 - POWER(0.1,K25)) * (K24-K23) + K23</f>
        <v>0.9999</v>
      </c>
      <c r="P34" s="61">
        <f>(1 - POWER(0.9,K25)) * (K24-K23) + K23</f>
        <v>0.3439</v>
      </c>
      <c r="Q34" s="61">
        <f>POWER(0.9,K25) * (K24-K23)+K23</f>
        <v>0.6561</v>
      </c>
      <c r="R34" s="61">
        <f>POWER(0.1,K25) * (K24-K23)+K23</f>
        <v>0.0001</v>
      </c>
      <c r="S34" s="61">
        <f>(1 / (1 + EXP(-K25*(0.4)))) * (K24-K23) + K23</f>
        <v>0.8320183851</v>
      </c>
      <c r="T34" s="61">
        <f>(1 / (1 + EXP(-K25*(-0.4)))) * (K24-K23) + K23</f>
        <v>0.1679816149</v>
      </c>
      <c r="U34" s="61">
        <f>(1 / (1 + EXP(-K25*(-0.1))) + 0.5) * (K24-K23) + K23</f>
        <v>0.9013123399</v>
      </c>
      <c r="V34" s="99">
        <f>(1 / (1 + EXP(-K25*(0.1))) - 0.5) * (K24-K23) + K23</f>
        <v>0.09868766011</v>
      </c>
      <c r="W34" s="100"/>
      <c r="X34" s="100"/>
      <c r="Y34" s="101"/>
      <c r="Z34" s="102"/>
    </row>
    <row r="35" ht="14.25" customHeight="1">
      <c r="H35" s="103">
        <f>H34+(I24-I23)/10</f>
        <v>7.2</v>
      </c>
      <c r="I35" s="61">
        <f>OFFSET(L33,0,I22,1,1)</f>
        <v>0.8</v>
      </c>
      <c r="M35" s="104">
        <f>K24</f>
        <v>1</v>
      </c>
      <c r="N35" s="105">
        <f>K23</f>
        <v>0</v>
      </c>
      <c r="O35" s="105">
        <f>K24</f>
        <v>1</v>
      </c>
      <c r="P35" s="105">
        <f>K23</f>
        <v>0</v>
      </c>
      <c r="Q35" s="105">
        <f>K24</f>
        <v>1</v>
      </c>
      <c r="R35" s="105">
        <f>K23</f>
        <v>0</v>
      </c>
      <c r="S35" s="105">
        <f>K24</f>
        <v>1</v>
      </c>
      <c r="T35" s="105">
        <f>K23</f>
        <v>0</v>
      </c>
      <c r="U35" s="105">
        <f>K24</f>
        <v>1</v>
      </c>
      <c r="V35" s="106">
        <f>K23</f>
        <v>0</v>
      </c>
      <c r="W35" s="107"/>
      <c r="X35" s="107"/>
      <c r="Y35" s="108"/>
      <c r="Z35" s="109"/>
    </row>
    <row r="36" ht="14.25" customHeight="1">
      <c r="H36" s="103">
        <f>H35+(I24-I23)/10</f>
        <v>7.6</v>
      </c>
      <c r="I36" s="61">
        <f>OFFSET(L34,0,I22,1,1)</f>
        <v>0.9</v>
      </c>
    </row>
    <row r="37" ht="14.25" customHeight="1">
      <c r="H37" s="103">
        <f>I24</f>
        <v>8</v>
      </c>
      <c r="I37" s="61">
        <f>OFFSET(L35,0,I22,1,1)</f>
        <v>1</v>
      </c>
    </row>
    <row r="38" ht="14.25" customHeight="1">
      <c r="A38" s="70"/>
      <c r="B38" s="70"/>
      <c r="C38" s="70"/>
      <c r="D38" s="70"/>
      <c r="E38" s="70"/>
      <c r="F38" s="70"/>
      <c r="G38" s="70"/>
      <c r="H38" s="70"/>
      <c r="I38" s="70"/>
      <c r="J38" s="70"/>
      <c r="K38" s="70"/>
      <c r="L38" s="70"/>
      <c r="M38" s="70"/>
      <c r="N38" s="70"/>
      <c r="O38" s="70"/>
      <c r="P38" s="70"/>
      <c r="Q38" s="70"/>
      <c r="R38" s="70"/>
      <c r="S38" s="70"/>
      <c r="T38" s="70"/>
      <c r="U38" s="70"/>
      <c r="V38" s="70"/>
      <c r="W38" s="70"/>
      <c r="X38" s="70"/>
      <c r="Y38" s="70"/>
      <c r="Z38" s="70"/>
    </row>
    <row r="39" ht="14.25" customHeight="1"/>
    <row r="40" ht="14.25" customHeight="1">
      <c r="H40" s="72" t="s">
        <v>50</v>
      </c>
      <c r="I40" s="73">
        <v>1.0</v>
      </c>
      <c r="J40" s="73"/>
      <c r="K40" s="74"/>
      <c r="M40" s="75" t="s">
        <v>51</v>
      </c>
      <c r="N40" s="54"/>
      <c r="O40" s="54"/>
      <c r="P40" s="54"/>
      <c r="Q40" s="54"/>
      <c r="R40" s="54"/>
      <c r="S40" s="54"/>
      <c r="T40" s="54"/>
      <c r="U40" s="54"/>
      <c r="V40" s="55"/>
      <c r="W40" s="76" t="s">
        <v>52</v>
      </c>
      <c r="X40" s="77"/>
      <c r="Y40" s="76" t="s">
        <v>53</v>
      </c>
      <c r="Z40" s="77"/>
    </row>
    <row r="41" ht="14.25" customHeight="1">
      <c r="H41" s="78" t="s">
        <v>54</v>
      </c>
      <c r="I41" s="79">
        <f>'Raw Data'!C9</f>
        <v>1</v>
      </c>
      <c r="J41" s="80" t="s">
        <v>55</v>
      </c>
      <c r="K41" s="81">
        <v>0.0</v>
      </c>
      <c r="M41" s="58" t="s">
        <v>56</v>
      </c>
      <c r="N41" s="27"/>
      <c r="O41" s="58" t="s">
        <v>57</v>
      </c>
      <c r="P41" s="27"/>
      <c r="Q41" s="58" t="s">
        <v>58</v>
      </c>
      <c r="R41" s="27"/>
      <c r="S41" s="58" t="s">
        <v>59</v>
      </c>
      <c r="T41" s="27"/>
      <c r="U41" s="58" t="s">
        <v>60</v>
      </c>
      <c r="V41" s="27"/>
      <c r="W41" s="82"/>
      <c r="X41" s="83"/>
      <c r="Y41" s="82"/>
      <c r="Z41" s="83"/>
    </row>
    <row r="42" ht="14.25" customHeight="1">
      <c r="H42" s="78" t="s">
        <v>61</v>
      </c>
      <c r="I42" s="79">
        <f>'Raw Data'!C10</f>
        <v>10</v>
      </c>
      <c r="J42" s="80" t="s">
        <v>62</v>
      </c>
      <c r="K42" s="81">
        <v>1.0</v>
      </c>
      <c r="M42" s="84" t="s">
        <v>63</v>
      </c>
      <c r="N42" s="85" t="s">
        <v>64</v>
      </c>
      <c r="O42" s="84" t="s">
        <v>63</v>
      </c>
      <c r="P42" s="85" t="s">
        <v>64</v>
      </c>
      <c r="Q42" s="84" t="s">
        <v>63</v>
      </c>
      <c r="R42" s="85" t="s">
        <v>64</v>
      </c>
      <c r="S42" s="84" t="s">
        <v>63</v>
      </c>
      <c r="T42" s="85" t="s">
        <v>64</v>
      </c>
      <c r="U42" s="84" t="s">
        <v>63</v>
      </c>
      <c r="V42" s="85" t="s">
        <v>64</v>
      </c>
      <c r="W42" s="86" t="s">
        <v>65</v>
      </c>
      <c r="X42" s="86" t="s">
        <v>66</v>
      </c>
      <c r="Y42" s="86" t="s">
        <v>67</v>
      </c>
      <c r="Z42" s="87" t="s">
        <v>68</v>
      </c>
    </row>
    <row r="43" ht="14.25" customHeight="1">
      <c r="H43" s="88"/>
      <c r="I43" s="89"/>
      <c r="J43" s="90" t="s">
        <v>69</v>
      </c>
      <c r="K43" s="91">
        <v>2.0</v>
      </c>
      <c r="M43" s="92">
        <f>K41</f>
        <v>0</v>
      </c>
      <c r="N43" s="93">
        <f>K42</f>
        <v>1</v>
      </c>
      <c r="O43" s="93">
        <f>K41</f>
        <v>0</v>
      </c>
      <c r="P43" s="93">
        <f>K42</f>
        <v>1</v>
      </c>
      <c r="Q43" s="93">
        <f>K41</f>
        <v>0</v>
      </c>
      <c r="R43" s="93">
        <f>K42</f>
        <v>1</v>
      </c>
      <c r="S43" s="93">
        <f>K41</f>
        <v>0</v>
      </c>
      <c r="T43" s="93">
        <f>K42</f>
        <v>1</v>
      </c>
      <c r="U43" s="93">
        <f>K41</f>
        <v>0</v>
      </c>
      <c r="V43" s="94">
        <f>K42</f>
        <v>1</v>
      </c>
      <c r="W43" s="95"/>
      <c r="X43" s="95"/>
      <c r="Y43" s="96"/>
      <c r="Z43" s="97"/>
    </row>
    <row r="44" ht="14.25" customHeight="1">
      <c r="H44" s="63" t="s">
        <v>70</v>
      </c>
      <c r="I44" s="63" t="s">
        <v>68</v>
      </c>
      <c r="M44" s="98">
        <f>M43+(M53-M43)/10</f>
        <v>0.1</v>
      </c>
      <c r="N44" s="61">
        <f>N43-(N43-N53)/10</f>
        <v>0.9</v>
      </c>
      <c r="O44" s="61">
        <f>(1 - POWER(0.9,K43)) * (K42-K41) + K41</f>
        <v>0.19</v>
      </c>
      <c r="P44" s="61">
        <f>(1 - POWER(0.1,K43)) * (K42-K41) + K41</f>
        <v>0.99</v>
      </c>
      <c r="Q44" s="61">
        <f>POWER(0.1,K43) * (K42-K41)+K41</f>
        <v>0.01</v>
      </c>
      <c r="R44" s="61">
        <f>POWER(0.9,K43) * (K42-K41)+K41</f>
        <v>0.81</v>
      </c>
      <c r="S44" s="61">
        <f>(1 / (1 + EXP(-K43*(-0.4)))) * (K42-K41) + K41</f>
        <v>0.3100255189</v>
      </c>
      <c r="T44" s="61">
        <f>(1 / (1 + EXP(-K43*(0.4)))) * (K42-K41) + K41</f>
        <v>0.6899744811</v>
      </c>
      <c r="U44" s="61">
        <f>(1 / (1 + EXP(-K43*(0.1))) - 0.5) * (K42-K41) + K41</f>
        <v>0.04983399731</v>
      </c>
      <c r="V44" s="99">
        <f>(1 / (1 + EXP(-K43*(-0.1))) + 0.5) * (K42-K41) + K41</f>
        <v>0.9501660027</v>
      </c>
      <c r="W44" s="100"/>
      <c r="X44" s="100"/>
      <c r="Y44" s="101"/>
      <c r="Z44" s="102"/>
    </row>
    <row r="45" ht="14.25" customHeight="1">
      <c r="H45" s="103">
        <f>I41</f>
        <v>1</v>
      </c>
      <c r="I45" s="61">
        <f>OFFSET(L43,0,I40,1,1)</f>
        <v>0</v>
      </c>
      <c r="M45" s="98">
        <f>M44+(M53-M43)/10</f>
        <v>0.2</v>
      </c>
      <c r="N45" s="61">
        <f>N44-(N43-N53)/10</f>
        <v>0.8</v>
      </c>
      <c r="O45" s="61">
        <f>(1 - POWER(0.8,K43)) * (K42-K41) + K41</f>
        <v>0.36</v>
      </c>
      <c r="P45" s="61">
        <f>(1 - POWER(0.2,K43)) * (K42-K41) + K41</f>
        <v>0.96</v>
      </c>
      <c r="Q45" s="61">
        <f>POWER(0.2,K43) * (K42-K41)+K41</f>
        <v>0.04</v>
      </c>
      <c r="R45" s="61">
        <f>POWER(0.8,K43) * (K42-K41)+K41</f>
        <v>0.64</v>
      </c>
      <c r="S45" s="61">
        <f>(1 / (1 + EXP(-K43*(-0.3)))) * (K42-K41) + K41</f>
        <v>0.3543436938</v>
      </c>
      <c r="T45" s="61">
        <f>(1 / (1 + EXP(-K43*(0.3)))) * (K42-K41) + K41</f>
        <v>0.6456563062</v>
      </c>
      <c r="U45" s="61">
        <f>(1 / (1 + EXP(-K43*(0.2))) - 0.5) *  (K42-K41) + K41</f>
        <v>0.09868766011</v>
      </c>
      <c r="V45" s="99">
        <f>(1 / (1 + EXP(-K43*(-0.2))) + 0.5) * (K42-K41) + K41</f>
        <v>0.9013123399</v>
      </c>
      <c r="W45" s="100"/>
      <c r="X45" s="100"/>
      <c r="Y45" s="101"/>
      <c r="Z45" s="102"/>
    </row>
    <row r="46" ht="14.25" customHeight="1">
      <c r="H46" s="103">
        <f>H45+(I42-I41)/10</f>
        <v>1.9</v>
      </c>
      <c r="I46" s="61">
        <f>OFFSET(L44,0,I40,1,1)</f>
        <v>0.1</v>
      </c>
      <c r="M46" s="98">
        <f>M45+(M53-M43)/10</f>
        <v>0.3</v>
      </c>
      <c r="N46" s="61">
        <f>N45-(N43-N53)/10</f>
        <v>0.7</v>
      </c>
      <c r="O46" s="61">
        <f>(1 - POWER(0.7,K43)) * (K42-K41) + K41</f>
        <v>0.51</v>
      </c>
      <c r="P46" s="61">
        <f>(1 - POWER(0.3,K43)) * (K42-K41) + K41</f>
        <v>0.91</v>
      </c>
      <c r="Q46" s="61">
        <f>POWER(0.3,K43) * (K42-K41)+K41</f>
        <v>0.09</v>
      </c>
      <c r="R46" s="61">
        <f>POWER(0.7,K43) * (K42-K41)+K41</f>
        <v>0.49</v>
      </c>
      <c r="S46" s="61">
        <f>(1 / (1 + EXP(-K43*(-0.2)))) * (K42-K41) + K41</f>
        <v>0.4013123399</v>
      </c>
      <c r="T46" s="61">
        <f>(1 / (1 + EXP(-K43*(0.2)))) * (K42-K41) + K41</f>
        <v>0.5986876601</v>
      </c>
      <c r="U46" s="61">
        <f>(1 / (1 + EXP(-K43*(0.3))) - 0.5) * (K42-K41) + K41</f>
        <v>0.1456563062</v>
      </c>
      <c r="V46" s="99">
        <f>(1 / (1 + EXP(-K43*(-0.3))) + 0.5) * (K42-K41) + K41</f>
        <v>0.8543436938</v>
      </c>
      <c r="W46" s="100"/>
      <c r="X46" s="100"/>
      <c r="Y46" s="101"/>
      <c r="Z46" s="102"/>
    </row>
    <row r="47" ht="14.25" customHeight="1">
      <c r="H47" s="103">
        <f>H46+(I42-I41)/10</f>
        <v>2.8</v>
      </c>
      <c r="I47" s="61">
        <f>OFFSET(L45,0,I40,1,1)</f>
        <v>0.2</v>
      </c>
      <c r="M47" s="98">
        <f>M46+(M53-M43)/10</f>
        <v>0.4</v>
      </c>
      <c r="N47" s="61">
        <f>N46-(N43-N53)/10</f>
        <v>0.6</v>
      </c>
      <c r="O47" s="61">
        <f>(1 - POWER(0.6,K43)) * (K42-K41) + K41</f>
        <v>0.64</v>
      </c>
      <c r="P47" s="61">
        <f>(1 - POWER(0.4,K43)) * (K42-K41) + K41</f>
        <v>0.84</v>
      </c>
      <c r="Q47" s="61">
        <f>POWER(0.4,K43) * (K42-K41)+K41</f>
        <v>0.16</v>
      </c>
      <c r="R47" s="61">
        <f>POWER(0.6,K43) * (K42-K41)+K41</f>
        <v>0.36</v>
      </c>
      <c r="S47" s="61">
        <f>(1 / (1 + EXP(-K43*(-0.1)))) * (K42-K41) + K41</f>
        <v>0.4501660027</v>
      </c>
      <c r="T47" s="61">
        <f>(1 / (1 + EXP(-K43*(0.1)))) * (K42-K41) + K41</f>
        <v>0.5498339973</v>
      </c>
      <c r="U47" s="61">
        <f>(1 / (1 + EXP(-K43*(0.4))) - 0.5) * (K42-K41) + K41</f>
        <v>0.1899744811</v>
      </c>
      <c r="V47" s="99">
        <f>(1 / (1 + EXP(-K43*(-0.4))) + 0.5) * (K42-K41) + K41</f>
        <v>0.8100255189</v>
      </c>
      <c r="W47" s="100"/>
      <c r="X47" s="100"/>
      <c r="Y47" s="101"/>
      <c r="Z47" s="102"/>
    </row>
    <row r="48" ht="14.25" customHeight="1">
      <c r="H48" s="103">
        <f>H47+(I42-I41)/10</f>
        <v>3.7</v>
      </c>
      <c r="I48" s="61">
        <f>OFFSET(L46,0,I40,1,1)</f>
        <v>0.3</v>
      </c>
      <c r="M48" s="98">
        <f>M47+(M53-M43)/10</f>
        <v>0.5</v>
      </c>
      <c r="N48" s="61">
        <f>N47-(N43-N53)/10</f>
        <v>0.5</v>
      </c>
      <c r="O48" s="61">
        <f>(1 - POWER(0.5,K43)) * (K42-K41) + K41</f>
        <v>0.75</v>
      </c>
      <c r="P48" s="61">
        <f>(1 - POWER(0.5,K43)) * (K42-K41) + K41</f>
        <v>0.75</v>
      </c>
      <c r="Q48" s="61">
        <f>POWER(0.5,K43) * (K42-K41)+K41</f>
        <v>0.25</v>
      </c>
      <c r="R48" s="61">
        <f>POWER(0.5,K43) * (K42-K41)+K41</f>
        <v>0.25</v>
      </c>
      <c r="S48" s="61">
        <f>(1 / (1 + EXP(-K43*(0)))) * (K42-K41) + K41</f>
        <v>0.5</v>
      </c>
      <c r="T48" s="61">
        <f>(1 / (1 + EXP(-K43*(0)))) * (K42-K41) + K41</f>
        <v>0.5</v>
      </c>
      <c r="U48" s="61">
        <f>(1 / (1 + EXP(-K43*(0.5))) - 0.5) * (K42-K41) + K41</f>
        <v>0.2310585786</v>
      </c>
      <c r="V48" s="99">
        <f>(1 / (1 + EXP(-K43*(0.5))) - 0.5) * (K42-K41) + K41</f>
        <v>0.2310585786</v>
      </c>
      <c r="W48" s="100"/>
      <c r="X48" s="100"/>
      <c r="Y48" s="101"/>
      <c r="Z48" s="102"/>
    </row>
    <row r="49" ht="14.25" customHeight="1">
      <c r="H49" s="103">
        <f>H48+(I42-I41)/10</f>
        <v>4.6</v>
      </c>
      <c r="I49" s="61">
        <f>OFFSET(L47,0,I40,1,1)</f>
        <v>0.4</v>
      </c>
      <c r="M49" s="98">
        <f>M48+(M53-M43)/10</f>
        <v>0.6</v>
      </c>
      <c r="N49" s="61">
        <f>N48-(N43-N53)/10</f>
        <v>0.4</v>
      </c>
      <c r="O49" s="61">
        <f>(1 - POWER(0.4,K43)) * (K42-K41) + K41</f>
        <v>0.84</v>
      </c>
      <c r="P49" s="61">
        <f>(1 - POWER(0.6,K43)) * (K42-K41) + K41</f>
        <v>0.64</v>
      </c>
      <c r="Q49" s="61">
        <f>POWER(0.6,K43) * (K42-K41)+K41</f>
        <v>0.36</v>
      </c>
      <c r="R49" s="61">
        <f>POWER(0.4,K43) * (K42-K41)+K41</f>
        <v>0.16</v>
      </c>
      <c r="S49" s="61">
        <f>(1 / (1 + EXP(-K43*(0.1)))) * (K42-K41) + K41</f>
        <v>0.5498339973</v>
      </c>
      <c r="T49" s="61">
        <f>(1 / (1 + EXP(-K43*(-0.1)))) * (K42-K41) + K41</f>
        <v>0.4501660027</v>
      </c>
      <c r="U49" s="61">
        <f>(1 / (1 + EXP(-K43*(-0.4))) + 0.5) * (K42-K41) + K41</f>
        <v>0.8100255189</v>
      </c>
      <c r="V49" s="99">
        <f>(1 / (1 + EXP(-K43*(0.4))) - 0.5) * (K42-K41) + K41</f>
        <v>0.1899744811</v>
      </c>
      <c r="W49" s="100"/>
      <c r="X49" s="100"/>
      <c r="Y49" s="101"/>
      <c r="Z49" s="102"/>
    </row>
    <row r="50" ht="14.25" customHeight="1">
      <c r="H50" s="103">
        <f>H49+(I42-I41)/10</f>
        <v>5.5</v>
      </c>
      <c r="I50" s="61">
        <f>OFFSET(L48,0,I40,1,1)</f>
        <v>0.5</v>
      </c>
      <c r="M50" s="98">
        <f>M49+(M53-M43)/10</f>
        <v>0.7</v>
      </c>
      <c r="N50" s="61">
        <f>N49-(N43-N53)/10</f>
        <v>0.3</v>
      </c>
      <c r="O50" s="61">
        <f>(1 - POWER(0.3,K43)) * (K42-K41) + K41</f>
        <v>0.91</v>
      </c>
      <c r="P50" s="61">
        <f>(1 - POWER(0.7,K43)) * (K42-K41) + K41</f>
        <v>0.51</v>
      </c>
      <c r="Q50" s="61">
        <f>POWER(0.7,K43) * (K42-K41)+K41</f>
        <v>0.49</v>
      </c>
      <c r="R50" s="61">
        <f>POWER(0.3,K43) * (K42-K41)+K41</f>
        <v>0.09</v>
      </c>
      <c r="S50" s="61">
        <f>(1 / (1 + EXP(-K43*(0.2)))) * (K42-K41) + K41</f>
        <v>0.5986876601</v>
      </c>
      <c r="T50" s="61">
        <f>(1 / (1 + EXP(-K43*(-0.2)))) * (K42-K41) + K41</f>
        <v>0.4013123399</v>
      </c>
      <c r="U50" s="61">
        <f>(1 / (1 + EXP(-K43*(-0.3))) + 0.5) * (K42-K41) + K41</f>
        <v>0.8543436938</v>
      </c>
      <c r="V50" s="99">
        <f>(1 / (1 + EXP(-K43*(0.3))) - 0.5) * (K42-K41) + K41</f>
        <v>0.1456563062</v>
      </c>
      <c r="W50" s="100"/>
      <c r="X50" s="100"/>
      <c r="Y50" s="101"/>
      <c r="Z50" s="102"/>
    </row>
    <row r="51" ht="14.25" customHeight="1">
      <c r="H51" s="103">
        <f>H50+(I42-I41)/10</f>
        <v>6.4</v>
      </c>
      <c r="I51" s="61">
        <f>OFFSET(L49,0,I40,1,1)</f>
        <v>0.6</v>
      </c>
      <c r="M51" s="98">
        <f>M50+(M53-M43)/10</f>
        <v>0.8</v>
      </c>
      <c r="N51" s="61">
        <f>N50-(N43-N53)/10</f>
        <v>0.2</v>
      </c>
      <c r="O51" s="61">
        <f>(1 - POWER(0.2,K43)) * (K42-K41) + K41</f>
        <v>0.96</v>
      </c>
      <c r="P51" s="61">
        <f>(1 - POWER(0.8,K43)) * (K42-K41) + K41</f>
        <v>0.36</v>
      </c>
      <c r="Q51" s="61">
        <f>POWER(0.8,K43) * (K42-K41)+K41</f>
        <v>0.64</v>
      </c>
      <c r="R51" s="61">
        <f>POWER(0.2,K43) * (K42-K41)+K41</f>
        <v>0.04</v>
      </c>
      <c r="S51" s="61">
        <f>(1 / (1 + EXP(-K43*(0.3)))) * (K42-K41) + K41</f>
        <v>0.6456563062</v>
      </c>
      <c r="T51" s="61">
        <f>(1 / (1 + EXP(-K43*(-0.3)))) * (K42-K41) + K41</f>
        <v>0.3543436938</v>
      </c>
      <c r="U51" s="61">
        <f>(1 / (1 + EXP(-K43*(-0.2))) + 0.5) * (K42-K41) + K41</f>
        <v>0.9013123399</v>
      </c>
      <c r="V51" s="99">
        <f>(1 / (1 + EXP(-K43*(0.2))) - 0.5) *  (K42-K41) + K41</f>
        <v>0.09868766011</v>
      </c>
      <c r="W51" s="100"/>
      <c r="X51" s="100"/>
      <c r="Y51" s="101"/>
      <c r="Z51" s="102"/>
    </row>
    <row r="52" ht="14.25" customHeight="1">
      <c r="H52" s="103">
        <f>H51+(I42-I41)/10</f>
        <v>7.3</v>
      </c>
      <c r="I52" s="61">
        <f>OFFSET(L50,0,I40,1,1)</f>
        <v>0.7</v>
      </c>
      <c r="M52" s="98">
        <f>M51+(M53-M43)/10</f>
        <v>0.9</v>
      </c>
      <c r="N52" s="61">
        <f>N51-(N43-N53)/10</f>
        <v>0.1</v>
      </c>
      <c r="O52" s="61">
        <f>(1 - POWER(0.1,K43)) * (K42-K41) + K41</f>
        <v>0.99</v>
      </c>
      <c r="P52" s="61">
        <f>(1 - POWER(0.9,K43)) * (K42-K41) + K41</f>
        <v>0.19</v>
      </c>
      <c r="Q52" s="61">
        <f>POWER(0.9,K43) * (K42-K41)+K41</f>
        <v>0.81</v>
      </c>
      <c r="R52" s="61">
        <f>POWER(0.1,K43) * (K42-K41)+K41</f>
        <v>0.01</v>
      </c>
      <c r="S52" s="61">
        <f>(1 / (1 + EXP(-K43*(0.4)))) * (K42-K41) + K41</f>
        <v>0.6899744811</v>
      </c>
      <c r="T52" s="61">
        <f>(1 / (1 + EXP(-K43*(-0.4)))) * (K42-K41) + K41</f>
        <v>0.3100255189</v>
      </c>
      <c r="U52" s="61">
        <f>(1 / (1 + EXP(-K43*(-0.1))) + 0.5) * (K42-K41) + K41</f>
        <v>0.9501660027</v>
      </c>
      <c r="V52" s="99">
        <f>(1 / (1 + EXP(-K43*(0.1))) - 0.5) * (K42-K41) + K41</f>
        <v>0.04983399731</v>
      </c>
      <c r="W52" s="100"/>
      <c r="X52" s="100"/>
      <c r="Y52" s="101"/>
      <c r="Z52" s="102"/>
    </row>
    <row r="53" ht="14.25" customHeight="1">
      <c r="H53" s="103">
        <f>H52+(I42-I41)/10</f>
        <v>8.2</v>
      </c>
      <c r="I53" s="61">
        <f>OFFSET(L51,0,I40,1,1)</f>
        <v>0.8</v>
      </c>
      <c r="M53" s="104">
        <f>K42</f>
        <v>1</v>
      </c>
      <c r="N53" s="105">
        <f>K41</f>
        <v>0</v>
      </c>
      <c r="O53" s="105">
        <f>K42</f>
        <v>1</v>
      </c>
      <c r="P53" s="105">
        <f>K41</f>
        <v>0</v>
      </c>
      <c r="Q53" s="105">
        <f>K42</f>
        <v>1</v>
      </c>
      <c r="R53" s="105">
        <f>K41</f>
        <v>0</v>
      </c>
      <c r="S53" s="105">
        <f>K42</f>
        <v>1</v>
      </c>
      <c r="T53" s="105">
        <f>K41</f>
        <v>0</v>
      </c>
      <c r="U53" s="105">
        <f>K42</f>
        <v>1</v>
      </c>
      <c r="V53" s="106">
        <f>K41</f>
        <v>0</v>
      </c>
      <c r="W53" s="107"/>
      <c r="X53" s="107"/>
      <c r="Y53" s="108"/>
      <c r="Z53" s="109"/>
    </row>
    <row r="54" ht="14.25" customHeight="1">
      <c r="H54" s="103">
        <f>H53+(I42-I41)/10</f>
        <v>9.1</v>
      </c>
      <c r="I54" s="61">
        <f>OFFSET(L52,0,I40,1,1)</f>
        <v>0.9</v>
      </c>
    </row>
    <row r="55" ht="14.25" customHeight="1">
      <c r="H55" s="103">
        <f>I42</f>
        <v>10</v>
      </c>
      <c r="I55" s="61">
        <f>OFFSET(L53,0,I40,1,1)</f>
        <v>1</v>
      </c>
    </row>
    <row r="56" ht="14.25" customHeight="1">
      <c r="A56" s="70"/>
      <c r="B56" s="70"/>
      <c r="C56" s="70"/>
      <c r="D56" s="70"/>
      <c r="E56" s="70"/>
      <c r="F56" s="70"/>
      <c r="G56" s="70"/>
      <c r="H56" s="70"/>
      <c r="I56" s="70"/>
      <c r="J56" s="70"/>
      <c r="K56" s="70"/>
      <c r="L56" s="70"/>
      <c r="M56" s="70"/>
      <c r="N56" s="70"/>
      <c r="O56" s="70"/>
      <c r="P56" s="70"/>
      <c r="Q56" s="70"/>
      <c r="R56" s="70"/>
      <c r="S56" s="70"/>
      <c r="T56" s="70"/>
      <c r="U56" s="70"/>
      <c r="V56" s="70"/>
      <c r="W56" s="70"/>
      <c r="X56" s="70"/>
      <c r="Y56" s="70"/>
      <c r="Z56" s="70"/>
    </row>
    <row r="57" ht="14.25" customHeight="1"/>
    <row r="58" ht="14.25" customHeight="1">
      <c r="H58" s="72" t="s">
        <v>50</v>
      </c>
      <c r="I58" s="73">
        <v>1.0</v>
      </c>
      <c r="J58" s="73"/>
      <c r="K58" s="74"/>
      <c r="M58" s="75" t="s">
        <v>51</v>
      </c>
      <c r="N58" s="54"/>
      <c r="O58" s="54"/>
      <c r="P58" s="54"/>
      <c r="Q58" s="54"/>
      <c r="R58" s="54"/>
      <c r="S58" s="54"/>
      <c r="T58" s="54"/>
      <c r="U58" s="54"/>
      <c r="V58" s="55"/>
      <c r="W58" s="76" t="s">
        <v>52</v>
      </c>
      <c r="X58" s="77"/>
      <c r="Y58" s="76" t="s">
        <v>53</v>
      </c>
      <c r="Z58" s="77"/>
    </row>
    <row r="59" ht="14.25" customHeight="1">
      <c r="H59" s="78" t="s">
        <v>54</v>
      </c>
      <c r="I59" s="79">
        <f>'Raw Data'!D9</f>
        <v>1</v>
      </c>
      <c r="J59" s="80" t="s">
        <v>55</v>
      </c>
      <c r="K59" s="81">
        <v>0.0</v>
      </c>
      <c r="M59" s="58" t="s">
        <v>56</v>
      </c>
      <c r="N59" s="27"/>
      <c r="O59" s="58" t="s">
        <v>57</v>
      </c>
      <c r="P59" s="27"/>
      <c r="Q59" s="58" t="s">
        <v>58</v>
      </c>
      <c r="R59" s="27"/>
      <c r="S59" s="58" t="s">
        <v>59</v>
      </c>
      <c r="T59" s="27"/>
      <c r="U59" s="58" t="s">
        <v>60</v>
      </c>
      <c r="V59" s="27"/>
      <c r="W59" s="82"/>
      <c r="X59" s="83"/>
      <c r="Y59" s="82"/>
      <c r="Z59" s="83"/>
    </row>
    <row r="60" ht="14.25" customHeight="1">
      <c r="H60" s="78" t="s">
        <v>61</v>
      </c>
      <c r="I60" s="79">
        <f>'Raw Data'!D10</f>
        <v>10</v>
      </c>
      <c r="J60" s="80" t="s">
        <v>62</v>
      </c>
      <c r="K60" s="81">
        <v>1.0</v>
      </c>
      <c r="M60" s="84" t="s">
        <v>63</v>
      </c>
      <c r="N60" s="85" t="s">
        <v>64</v>
      </c>
      <c r="O60" s="84" t="s">
        <v>63</v>
      </c>
      <c r="P60" s="85" t="s">
        <v>64</v>
      </c>
      <c r="Q60" s="84" t="s">
        <v>63</v>
      </c>
      <c r="R60" s="85" t="s">
        <v>64</v>
      </c>
      <c r="S60" s="84" t="s">
        <v>63</v>
      </c>
      <c r="T60" s="85" t="s">
        <v>64</v>
      </c>
      <c r="U60" s="84" t="s">
        <v>63</v>
      </c>
      <c r="V60" s="85" t="s">
        <v>64</v>
      </c>
      <c r="W60" s="86" t="s">
        <v>65</v>
      </c>
      <c r="X60" s="86" t="s">
        <v>66</v>
      </c>
      <c r="Y60" s="86" t="s">
        <v>67</v>
      </c>
      <c r="Z60" s="87" t="s">
        <v>68</v>
      </c>
    </row>
    <row r="61" ht="14.25" customHeight="1">
      <c r="H61" s="88"/>
      <c r="I61" s="89"/>
      <c r="J61" s="90" t="s">
        <v>69</v>
      </c>
      <c r="K61" s="91">
        <v>2.0</v>
      </c>
      <c r="M61" s="92">
        <f>K59</f>
        <v>0</v>
      </c>
      <c r="N61" s="93">
        <f>K60</f>
        <v>1</v>
      </c>
      <c r="O61" s="93">
        <f>K59</f>
        <v>0</v>
      </c>
      <c r="P61" s="93">
        <f>K60</f>
        <v>1</v>
      </c>
      <c r="Q61" s="93">
        <f>K59</f>
        <v>0</v>
      </c>
      <c r="R61" s="93">
        <f>K60</f>
        <v>1</v>
      </c>
      <c r="S61" s="93">
        <f>K59</f>
        <v>0</v>
      </c>
      <c r="T61" s="93">
        <f>K60</f>
        <v>1</v>
      </c>
      <c r="U61" s="93">
        <f>K59</f>
        <v>0</v>
      </c>
      <c r="V61" s="94">
        <f>K60</f>
        <v>1</v>
      </c>
      <c r="W61" s="95"/>
      <c r="X61" s="95"/>
      <c r="Y61" s="96"/>
      <c r="Z61" s="97"/>
    </row>
    <row r="62" ht="14.25" customHeight="1">
      <c r="H62" s="63" t="s">
        <v>70</v>
      </c>
      <c r="I62" s="63" t="s">
        <v>68</v>
      </c>
      <c r="M62" s="98">
        <f>M61+(M71-M61)/10</f>
        <v>0.1</v>
      </c>
      <c r="N62" s="61">
        <f>N61-(N61-N71)/10</f>
        <v>0.9</v>
      </c>
      <c r="O62" s="61">
        <f>(1 - POWER(0.9,K61)) * (K60-K59) + K59</f>
        <v>0.19</v>
      </c>
      <c r="P62" s="61">
        <f>(1 - POWER(0.1,K61)) * (K60-K59) + K59</f>
        <v>0.99</v>
      </c>
      <c r="Q62" s="61">
        <f>POWER(0.1,K61) * (K60-K59)+K59</f>
        <v>0.01</v>
      </c>
      <c r="R62" s="61">
        <f>POWER(0.9,K61) * (K60-K59)+K59</f>
        <v>0.81</v>
      </c>
      <c r="S62" s="61">
        <f>(1 / (1 + EXP(-K61*(-0.4)))) * (K60-K59) + K59</f>
        <v>0.3100255189</v>
      </c>
      <c r="T62" s="61">
        <f>(1 / (1 + EXP(-K61*(0.4)))) * (K60-K59) + K59</f>
        <v>0.6899744811</v>
      </c>
      <c r="U62" s="61">
        <f>(1 / (1 + EXP(-K61*(0.1))) - 0.5) * (K60-K59) + K59</f>
        <v>0.04983399731</v>
      </c>
      <c r="V62" s="99">
        <f>(1 / (1 + EXP(-K61*(-0.1))) + 0.5) * (K60-K59) + K59</f>
        <v>0.9501660027</v>
      </c>
      <c r="W62" s="100"/>
      <c r="X62" s="100"/>
      <c r="Y62" s="101"/>
      <c r="Z62" s="102"/>
    </row>
    <row r="63" ht="14.25" customHeight="1">
      <c r="H63" s="103">
        <f>I59</f>
        <v>1</v>
      </c>
      <c r="I63" s="61">
        <f>OFFSET(L61,0,I58,1,1)</f>
        <v>0</v>
      </c>
      <c r="M63" s="98">
        <f>M62+(M71-M61)/10</f>
        <v>0.2</v>
      </c>
      <c r="N63" s="61">
        <f>N62-(N61-N71)/10</f>
        <v>0.8</v>
      </c>
      <c r="O63" s="61">
        <f>(1 - POWER(0.8,K61)) * (K60-K59) + K59</f>
        <v>0.36</v>
      </c>
      <c r="P63" s="61">
        <f>(1 - POWER(0.2,K61)) * (K60-K59) + K59</f>
        <v>0.96</v>
      </c>
      <c r="Q63" s="61">
        <f>POWER(0.2,K61) * (K60-K59)+K59</f>
        <v>0.04</v>
      </c>
      <c r="R63" s="61">
        <f>POWER(0.8,K61) * (K60-K59)+K59</f>
        <v>0.64</v>
      </c>
      <c r="S63" s="61">
        <f>(1 / (1 + EXP(-K61*(-0.3)))) * (K60-K59) + K59</f>
        <v>0.3543436938</v>
      </c>
      <c r="T63" s="61">
        <f>(1 / (1 + EXP(-K61*(0.3)))) * (K60-K59) + K59</f>
        <v>0.6456563062</v>
      </c>
      <c r="U63" s="61">
        <f>(1 / (1 + EXP(-K61*(0.2))) - 0.5) *  (K60-K59) + K59</f>
        <v>0.09868766011</v>
      </c>
      <c r="V63" s="99">
        <f>(1 / (1 + EXP(-K61*(-0.2))) + 0.5) * (K60-K59) + K59</f>
        <v>0.9013123399</v>
      </c>
      <c r="W63" s="100"/>
      <c r="X63" s="100"/>
      <c r="Y63" s="101"/>
      <c r="Z63" s="102"/>
    </row>
    <row r="64" ht="14.25" customHeight="1">
      <c r="H64" s="103">
        <f>H63+(I60-I59)/10</f>
        <v>1.9</v>
      </c>
      <c r="I64" s="61">
        <f>OFFSET(L62,0,I58,1,1)</f>
        <v>0.1</v>
      </c>
      <c r="M64" s="98">
        <f>M63+(M71-M61)/10</f>
        <v>0.3</v>
      </c>
      <c r="N64" s="61">
        <f>N63-(N61-N71)/10</f>
        <v>0.7</v>
      </c>
      <c r="O64" s="61">
        <f>(1 - POWER(0.7,K61)) * (K60-K59) + K59</f>
        <v>0.51</v>
      </c>
      <c r="P64" s="61">
        <f>(1 - POWER(0.3,K61)) * (K60-K59) + K59</f>
        <v>0.91</v>
      </c>
      <c r="Q64" s="61">
        <f>POWER(0.3,K61) * (K60-K59)+K59</f>
        <v>0.09</v>
      </c>
      <c r="R64" s="61">
        <f>POWER(0.7,K61) * (K60-K59)+K59</f>
        <v>0.49</v>
      </c>
      <c r="S64" s="61">
        <f>(1 / (1 + EXP(-K61*(-0.2)))) * (K60-K59) + K59</f>
        <v>0.4013123399</v>
      </c>
      <c r="T64" s="61">
        <f>(1 / (1 + EXP(-K61*(0.2)))) * (K60-K59) + K59</f>
        <v>0.5986876601</v>
      </c>
      <c r="U64" s="61">
        <f>(1 / (1 + EXP(-K61*(0.3))) - 0.5) * (K60-K59) + K59</f>
        <v>0.1456563062</v>
      </c>
      <c r="V64" s="99">
        <f>(1 / (1 + EXP(-K61*(-0.3))) + 0.5) * (K60-K59) + K59</f>
        <v>0.8543436938</v>
      </c>
      <c r="W64" s="100"/>
      <c r="X64" s="100"/>
      <c r="Y64" s="101"/>
      <c r="Z64" s="102"/>
    </row>
    <row r="65" ht="14.25" customHeight="1">
      <c r="H65" s="103">
        <f>H64+(I60-I59)/10</f>
        <v>2.8</v>
      </c>
      <c r="I65" s="61">
        <f>OFFSET(L63,0,I58,1,1)</f>
        <v>0.2</v>
      </c>
      <c r="M65" s="98">
        <f>M64+(M71-M61)/10</f>
        <v>0.4</v>
      </c>
      <c r="N65" s="61">
        <f>N64-(N61-N71)/10</f>
        <v>0.6</v>
      </c>
      <c r="O65" s="61">
        <f>(1 - POWER(0.6,K61)) * (K60-K59) + K59</f>
        <v>0.64</v>
      </c>
      <c r="P65" s="61">
        <f>(1 - POWER(0.4,K61)) * (K60-K59) + K59</f>
        <v>0.84</v>
      </c>
      <c r="Q65" s="61">
        <f>POWER(0.4,K61) * (K60-K59)+K59</f>
        <v>0.16</v>
      </c>
      <c r="R65" s="61">
        <f>POWER(0.6,K61) * (K60-K59)+K59</f>
        <v>0.36</v>
      </c>
      <c r="S65" s="61">
        <f>(1 / (1 + EXP(-K61*(-0.1)))) * (K60-K59) + K59</f>
        <v>0.4501660027</v>
      </c>
      <c r="T65" s="61">
        <f>(1 / (1 + EXP(-K61*(0.1)))) * (K60-K59) + K59</f>
        <v>0.5498339973</v>
      </c>
      <c r="U65" s="61">
        <f>(1 / (1 + EXP(-K61*(0.4))) - 0.5) * (K60-K59) + K59</f>
        <v>0.1899744811</v>
      </c>
      <c r="V65" s="99">
        <f>(1 / (1 + EXP(-K61*(-0.4))) + 0.5) * (K60-K59) + K59</f>
        <v>0.8100255189</v>
      </c>
      <c r="W65" s="100"/>
      <c r="X65" s="100"/>
      <c r="Y65" s="101"/>
      <c r="Z65" s="102"/>
    </row>
    <row r="66" ht="14.25" customHeight="1">
      <c r="H66" s="103">
        <f>H65+(I60-I59)/10</f>
        <v>3.7</v>
      </c>
      <c r="I66" s="61">
        <f>OFFSET(L64,0,I58,1,1)</f>
        <v>0.3</v>
      </c>
      <c r="M66" s="98">
        <f>M65+(M71-M61)/10</f>
        <v>0.5</v>
      </c>
      <c r="N66" s="61">
        <f>N65-(N61-N71)/10</f>
        <v>0.5</v>
      </c>
      <c r="O66" s="61">
        <f>(1 - POWER(0.5,K61)) * (K60-K59) + K59</f>
        <v>0.75</v>
      </c>
      <c r="P66" s="61">
        <f>(1 - POWER(0.5,K61)) * (K60-K59) + K59</f>
        <v>0.75</v>
      </c>
      <c r="Q66" s="61">
        <f>POWER(0.5,K61) * (K60-K59)+K59</f>
        <v>0.25</v>
      </c>
      <c r="R66" s="61">
        <f>POWER(0.5,K61) * (K60-K59)+K59</f>
        <v>0.25</v>
      </c>
      <c r="S66" s="61">
        <f>(1 / (1 + EXP(-K61*(0)))) * (K60-K59) + K59</f>
        <v>0.5</v>
      </c>
      <c r="T66" s="61">
        <f>(1 / (1 + EXP(-K61*(0)))) * (K60-K59) + K59</f>
        <v>0.5</v>
      </c>
      <c r="U66" s="61">
        <f>(1 / (1 + EXP(-K61*(0.5))) - 0.5) * (K60-K59) + K59</f>
        <v>0.2310585786</v>
      </c>
      <c r="V66" s="99">
        <f>(1 / (1 + EXP(-K61*(0.5))) - 0.5) * (K60-K59) + K59</f>
        <v>0.2310585786</v>
      </c>
      <c r="W66" s="100"/>
      <c r="X66" s="100"/>
      <c r="Y66" s="101"/>
      <c r="Z66" s="102"/>
    </row>
    <row r="67" ht="14.25" customHeight="1">
      <c r="H67" s="103">
        <f>H66+(I60-I59)/10</f>
        <v>4.6</v>
      </c>
      <c r="I67" s="61">
        <f>OFFSET(L65,0,I58,1,1)</f>
        <v>0.4</v>
      </c>
      <c r="M67" s="98">
        <f>M66+(M71-M61)/10</f>
        <v>0.6</v>
      </c>
      <c r="N67" s="61">
        <f>N66-(N61-N71)/10</f>
        <v>0.4</v>
      </c>
      <c r="O67" s="61">
        <f>(1 - POWER(0.4,K61)) * (K60-K59) + K59</f>
        <v>0.84</v>
      </c>
      <c r="P67" s="61">
        <f>(1 - POWER(0.6,K61)) * (K60-K59) + K59</f>
        <v>0.64</v>
      </c>
      <c r="Q67" s="61">
        <f>POWER(0.6,K61) * (K60-K59)+K59</f>
        <v>0.36</v>
      </c>
      <c r="R67" s="61">
        <f>POWER(0.4,K61) * (K60-K59)+K59</f>
        <v>0.16</v>
      </c>
      <c r="S67" s="61">
        <f>(1 / (1 + EXP(-K61*(0.1)))) * (K60-K59) + K59</f>
        <v>0.5498339973</v>
      </c>
      <c r="T67" s="61">
        <f>(1 / (1 + EXP(-K61*(-0.1)))) * (K60-K59) + K59</f>
        <v>0.4501660027</v>
      </c>
      <c r="U67" s="61">
        <f>(1 / (1 + EXP(-K61*(-0.4))) + 0.5) * (K60-K59) + K59</f>
        <v>0.8100255189</v>
      </c>
      <c r="V67" s="99">
        <f>(1 / (1 + EXP(-K61*(0.4))) - 0.5) * (K60-K59) + K59</f>
        <v>0.1899744811</v>
      </c>
      <c r="W67" s="100"/>
      <c r="X67" s="100"/>
      <c r="Y67" s="101"/>
      <c r="Z67" s="102"/>
    </row>
    <row r="68" ht="14.25" customHeight="1">
      <c r="H68" s="103">
        <f>H67+(I60-I59)/10</f>
        <v>5.5</v>
      </c>
      <c r="I68" s="61">
        <f>OFFSET(L66,0,I58,1,1)</f>
        <v>0.5</v>
      </c>
      <c r="M68" s="98">
        <f>M67+(M71-M61)/10</f>
        <v>0.7</v>
      </c>
      <c r="N68" s="61">
        <f>N67-(N61-N71)/10</f>
        <v>0.3</v>
      </c>
      <c r="O68" s="61">
        <f>(1 - POWER(0.3,K61)) * (K60-K59) + K59</f>
        <v>0.91</v>
      </c>
      <c r="P68" s="61">
        <f>(1 - POWER(0.7,K61)) * (K60-K59) + K59</f>
        <v>0.51</v>
      </c>
      <c r="Q68" s="61">
        <f>POWER(0.7,K61) * (K60-K59)+K59</f>
        <v>0.49</v>
      </c>
      <c r="R68" s="61">
        <f>POWER(0.3,K61) * (K60-K59)+K59</f>
        <v>0.09</v>
      </c>
      <c r="S68" s="61">
        <f>(1 / (1 + EXP(-K61*(0.2)))) * (K60-K59) + K59</f>
        <v>0.5986876601</v>
      </c>
      <c r="T68" s="61">
        <f>(1 / (1 + EXP(-K61*(-0.2)))) * (K60-K59) + K59</f>
        <v>0.4013123399</v>
      </c>
      <c r="U68" s="61">
        <f>(1 / (1 + EXP(-K61*(-0.3))) + 0.5) * (K60-K59) + K59</f>
        <v>0.8543436938</v>
      </c>
      <c r="V68" s="99">
        <f>(1 / (1 + EXP(-K61*(0.3))) - 0.5) * (K60-K59) + K59</f>
        <v>0.1456563062</v>
      </c>
      <c r="W68" s="100"/>
      <c r="X68" s="100"/>
      <c r="Y68" s="101"/>
      <c r="Z68" s="102"/>
    </row>
    <row r="69" ht="14.25" customHeight="1">
      <c r="H69" s="103">
        <f>H68+(I60-I59)/10</f>
        <v>6.4</v>
      </c>
      <c r="I69" s="61">
        <f>OFFSET(L67,0,I58,1,1)</f>
        <v>0.6</v>
      </c>
      <c r="M69" s="98">
        <f>M68+(M71-M61)/10</f>
        <v>0.8</v>
      </c>
      <c r="N69" s="61">
        <f>N68-(N61-N71)/10</f>
        <v>0.2</v>
      </c>
      <c r="O69" s="61">
        <f>(1 - POWER(0.2,K61)) * (K60-K59) + K59</f>
        <v>0.96</v>
      </c>
      <c r="P69" s="61">
        <f>(1 - POWER(0.8,K61)) * (K60-K59) + K59</f>
        <v>0.36</v>
      </c>
      <c r="Q69" s="61">
        <f>POWER(0.8,K61) * (K60-K59)+K59</f>
        <v>0.64</v>
      </c>
      <c r="R69" s="61">
        <f>POWER(0.2,K61) * (K60-K59)+K59</f>
        <v>0.04</v>
      </c>
      <c r="S69" s="61">
        <f>(1 / (1 + EXP(-K61*(0.3)))) * (K60-K59) + K59</f>
        <v>0.6456563062</v>
      </c>
      <c r="T69" s="61">
        <f>(1 / (1 + EXP(-K61*(-0.3)))) * (K60-K59) + K59</f>
        <v>0.3543436938</v>
      </c>
      <c r="U69" s="61">
        <f>(1 / (1 + EXP(-K61*(-0.2))) + 0.5) * (K60-K59) + K59</f>
        <v>0.9013123399</v>
      </c>
      <c r="V69" s="99">
        <f>(1 / (1 + EXP(-K61*(0.2))) - 0.5) *  (K60-K59) + K59</f>
        <v>0.09868766011</v>
      </c>
      <c r="W69" s="100"/>
      <c r="X69" s="100"/>
      <c r="Y69" s="101"/>
      <c r="Z69" s="102"/>
    </row>
    <row r="70" ht="14.25" customHeight="1">
      <c r="H70" s="103">
        <f>H69+(I60-I59)/10</f>
        <v>7.3</v>
      </c>
      <c r="I70" s="61">
        <f>OFFSET(L68,0,I58,1,1)</f>
        <v>0.7</v>
      </c>
      <c r="M70" s="98">
        <f>M69+(M71-M61)/10</f>
        <v>0.9</v>
      </c>
      <c r="N70" s="61">
        <f>N69-(N61-N71)/10</f>
        <v>0.1</v>
      </c>
      <c r="O70" s="61">
        <f>(1 - POWER(0.1,K61)) * (K60-K59) + K59</f>
        <v>0.99</v>
      </c>
      <c r="P70" s="61">
        <f>(1 - POWER(0.9,K61)) * (K60-K59) + K59</f>
        <v>0.19</v>
      </c>
      <c r="Q70" s="61">
        <f>POWER(0.9,K61) * (K60-K59)+K59</f>
        <v>0.81</v>
      </c>
      <c r="R70" s="61">
        <f>POWER(0.1,K61) * (K60-K59)+K59</f>
        <v>0.01</v>
      </c>
      <c r="S70" s="61">
        <f>(1 / (1 + EXP(-K61*(0.4)))) * (K60-K59) + K59</f>
        <v>0.6899744811</v>
      </c>
      <c r="T70" s="61">
        <f>(1 / (1 + EXP(-K61*(-0.4)))) * (K60-K59) + K59</f>
        <v>0.3100255189</v>
      </c>
      <c r="U70" s="61">
        <f>(1 / (1 + EXP(-K61*(-0.1))) + 0.5) * (K60-K59) + K59</f>
        <v>0.9501660027</v>
      </c>
      <c r="V70" s="99">
        <f>(1 / (1 + EXP(-K61*(0.1))) - 0.5) * (K60-K59) + K59</f>
        <v>0.04983399731</v>
      </c>
      <c r="W70" s="100"/>
      <c r="X70" s="100"/>
      <c r="Y70" s="101"/>
      <c r="Z70" s="102"/>
    </row>
    <row r="71" ht="14.25" customHeight="1">
      <c r="H71" s="103">
        <f>H70+(I60-I59)/10</f>
        <v>8.2</v>
      </c>
      <c r="I71" s="61">
        <f>OFFSET(L69,0,I58,1,1)</f>
        <v>0.8</v>
      </c>
      <c r="M71" s="104">
        <f>K60</f>
        <v>1</v>
      </c>
      <c r="N71" s="105">
        <f>K59</f>
        <v>0</v>
      </c>
      <c r="O71" s="105">
        <f>K60</f>
        <v>1</v>
      </c>
      <c r="P71" s="105">
        <f>K59</f>
        <v>0</v>
      </c>
      <c r="Q71" s="105">
        <f>K60</f>
        <v>1</v>
      </c>
      <c r="R71" s="105">
        <f>K59</f>
        <v>0</v>
      </c>
      <c r="S71" s="105">
        <f>K60</f>
        <v>1</v>
      </c>
      <c r="T71" s="105">
        <f>K59</f>
        <v>0</v>
      </c>
      <c r="U71" s="105">
        <f>K60</f>
        <v>1</v>
      </c>
      <c r="V71" s="106">
        <f>K59</f>
        <v>0</v>
      </c>
      <c r="W71" s="107"/>
      <c r="X71" s="107"/>
      <c r="Y71" s="108"/>
      <c r="Z71" s="109"/>
    </row>
    <row r="72" ht="14.25" customHeight="1">
      <c r="H72" s="103">
        <f>H71+(I60-I59)/10</f>
        <v>9.1</v>
      </c>
      <c r="I72" s="61">
        <f>OFFSET(L70,0,I58,1,1)</f>
        <v>0.9</v>
      </c>
    </row>
    <row r="73" ht="14.25" customHeight="1">
      <c r="H73" s="103">
        <f>I60</f>
        <v>10</v>
      </c>
      <c r="I73" s="61">
        <f>OFFSET(L71,0,I58,1,1)</f>
        <v>1</v>
      </c>
    </row>
    <row r="74" ht="14.25" customHeight="1">
      <c r="A74" s="70"/>
      <c r="B74" s="70"/>
      <c r="C74" s="70"/>
      <c r="D74" s="70"/>
      <c r="E74" s="70"/>
      <c r="F74" s="70"/>
      <c r="G74" s="70"/>
      <c r="H74" s="70"/>
      <c r="I74" s="70"/>
      <c r="J74" s="70"/>
      <c r="K74" s="70"/>
      <c r="L74" s="70"/>
      <c r="M74" s="70"/>
      <c r="N74" s="70"/>
      <c r="O74" s="70"/>
      <c r="P74" s="70"/>
      <c r="Q74" s="70"/>
      <c r="R74" s="70"/>
      <c r="S74" s="70"/>
      <c r="T74" s="70"/>
      <c r="U74" s="70"/>
      <c r="V74" s="70"/>
      <c r="W74" s="70"/>
      <c r="X74" s="70"/>
      <c r="Y74" s="70"/>
      <c r="Z74" s="70"/>
    </row>
    <row r="75" ht="14.25" customHeight="1"/>
    <row r="76" ht="14.25" customHeight="1">
      <c r="H76" s="72" t="s">
        <v>50</v>
      </c>
      <c r="I76" s="73">
        <v>1.0</v>
      </c>
      <c r="J76" s="73"/>
      <c r="K76" s="74"/>
      <c r="M76" s="75" t="s">
        <v>51</v>
      </c>
      <c r="N76" s="54"/>
      <c r="O76" s="54"/>
      <c r="P76" s="54"/>
      <c r="Q76" s="54"/>
      <c r="R76" s="54"/>
      <c r="S76" s="54"/>
      <c r="T76" s="54"/>
      <c r="U76" s="54"/>
      <c r="V76" s="55"/>
      <c r="W76" s="76" t="s">
        <v>52</v>
      </c>
      <c r="X76" s="77"/>
      <c r="Y76" s="76" t="s">
        <v>53</v>
      </c>
      <c r="Z76" s="77"/>
    </row>
    <row r="77" ht="14.25" customHeight="1">
      <c r="H77" s="78" t="s">
        <v>54</v>
      </c>
      <c r="I77" s="79">
        <f>'Raw Data'!E9</f>
        <v>3</v>
      </c>
      <c r="J77" s="80" t="s">
        <v>55</v>
      </c>
      <c r="K77" s="81">
        <v>0.0</v>
      </c>
      <c r="M77" s="58" t="s">
        <v>56</v>
      </c>
      <c r="N77" s="27"/>
      <c r="O77" s="58" t="s">
        <v>57</v>
      </c>
      <c r="P77" s="27"/>
      <c r="Q77" s="58" t="s">
        <v>58</v>
      </c>
      <c r="R77" s="27"/>
      <c r="S77" s="58" t="s">
        <v>59</v>
      </c>
      <c r="T77" s="27"/>
      <c r="U77" s="58" t="s">
        <v>60</v>
      </c>
      <c r="V77" s="27"/>
      <c r="W77" s="82"/>
      <c r="X77" s="83"/>
      <c r="Y77" s="82"/>
      <c r="Z77" s="83"/>
    </row>
    <row r="78" ht="14.25" customHeight="1">
      <c r="H78" s="78" t="s">
        <v>61</v>
      </c>
      <c r="I78" s="79">
        <f>'Raw Data'!E10</f>
        <v>10</v>
      </c>
      <c r="J78" s="80" t="s">
        <v>62</v>
      </c>
      <c r="K78" s="81">
        <v>1.0</v>
      </c>
      <c r="M78" s="84" t="s">
        <v>63</v>
      </c>
      <c r="N78" s="85" t="s">
        <v>64</v>
      </c>
      <c r="O78" s="84" t="s">
        <v>63</v>
      </c>
      <c r="P78" s="85" t="s">
        <v>64</v>
      </c>
      <c r="Q78" s="84" t="s">
        <v>63</v>
      </c>
      <c r="R78" s="85" t="s">
        <v>64</v>
      </c>
      <c r="S78" s="84" t="s">
        <v>63</v>
      </c>
      <c r="T78" s="85" t="s">
        <v>64</v>
      </c>
      <c r="U78" s="84" t="s">
        <v>63</v>
      </c>
      <c r="V78" s="85" t="s">
        <v>64</v>
      </c>
      <c r="W78" s="86" t="s">
        <v>65</v>
      </c>
      <c r="X78" s="86" t="s">
        <v>66</v>
      </c>
      <c r="Y78" s="86" t="s">
        <v>67</v>
      </c>
      <c r="Z78" s="87" t="s">
        <v>68</v>
      </c>
    </row>
    <row r="79" ht="14.25" customHeight="1">
      <c r="H79" s="88"/>
      <c r="I79" s="89"/>
      <c r="J79" s="90" t="s">
        <v>69</v>
      </c>
      <c r="K79" s="91">
        <v>2.0</v>
      </c>
      <c r="M79" s="92">
        <f>K77</f>
        <v>0</v>
      </c>
      <c r="N79" s="93">
        <f>K78</f>
        <v>1</v>
      </c>
      <c r="O79" s="93">
        <f>K77</f>
        <v>0</v>
      </c>
      <c r="P79" s="93">
        <f>K78</f>
        <v>1</v>
      </c>
      <c r="Q79" s="93">
        <f>K77</f>
        <v>0</v>
      </c>
      <c r="R79" s="93">
        <f>K78</f>
        <v>1</v>
      </c>
      <c r="S79" s="93">
        <f>K77</f>
        <v>0</v>
      </c>
      <c r="T79" s="93">
        <f>K78</f>
        <v>1</v>
      </c>
      <c r="U79" s="93">
        <f>K77</f>
        <v>0</v>
      </c>
      <c r="V79" s="94">
        <f>K78</f>
        <v>1</v>
      </c>
      <c r="W79" s="95"/>
      <c r="X79" s="95"/>
      <c r="Y79" s="96"/>
      <c r="Z79" s="97"/>
    </row>
    <row r="80" ht="14.25" customHeight="1">
      <c r="H80" s="63" t="s">
        <v>70</v>
      </c>
      <c r="I80" s="63" t="s">
        <v>68</v>
      </c>
      <c r="M80" s="98">
        <f>M79+(M89-M79)/10</f>
        <v>0.1</v>
      </c>
      <c r="N80" s="61">
        <f>N79-(N79-N89)/10</f>
        <v>0.9</v>
      </c>
      <c r="O80" s="61">
        <f>(1 - POWER(0.9,K79)) * (K78-K77) + K77</f>
        <v>0.19</v>
      </c>
      <c r="P80" s="61">
        <f>(1 - POWER(0.1,K79)) * (K78-K77) + K77</f>
        <v>0.99</v>
      </c>
      <c r="Q80" s="61">
        <f>POWER(0.1,K79) * (K78-K77)+K77</f>
        <v>0.01</v>
      </c>
      <c r="R80" s="61">
        <f>POWER(0.9,K79) * (K78-K77)+K77</f>
        <v>0.81</v>
      </c>
      <c r="S80" s="61">
        <f>(1 / (1 + EXP(-K79*(-0.4)))) * (K78-K77) + K77</f>
        <v>0.3100255189</v>
      </c>
      <c r="T80" s="61">
        <f>(1 / (1 + EXP(-K79*(0.4)))) * (K78-K77) + K77</f>
        <v>0.6899744811</v>
      </c>
      <c r="U80" s="61">
        <f>(1 / (1 + EXP(-K79*(0.1))) - 0.5) * (K78-K77) + K77</f>
        <v>0.04983399731</v>
      </c>
      <c r="V80" s="99">
        <f>(1 / (1 + EXP(-K79*(-0.1))) + 0.5) * (K78-K77) + K77</f>
        <v>0.9501660027</v>
      </c>
      <c r="W80" s="100"/>
      <c r="X80" s="100"/>
      <c r="Y80" s="101"/>
      <c r="Z80" s="102"/>
    </row>
    <row r="81" ht="14.25" customHeight="1">
      <c r="H81" s="103">
        <f>I77</f>
        <v>3</v>
      </c>
      <c r="I81" s="61">
        <f>OFFSET(L79,0,I76,1,1)</f>
        <v>0</v>
      </c>
      <c r="M81" s="98">
        <f>M80+(M89-M79)/10</f>
        <v>0.2</v>
      </c>
      <c r="N81" s="61">
        <f>N80-(N79-N89)/10</f>
        <v>0.8</v>
      </c>
      <c r="O81" s="61">
        <f>(1 - POWER(0.8,K79)) * (K78-K77) + K77</f>
        <v>0.36</v>
      </c>
      <c r="P81" s="61">
        <f>(1 - POWER(0.2,K79)) * (K78-K77) + K77</f>
        <v>0.96</v>
      </c>
      <c r="Q81" s="61">
        <f>POWER(0.2,K79) * (K78-K77)+K77</f>
        <v>0.04</v>
      </c>
      <c r="R81" s="61">
        <f>POWER(0.8,K79) * (K78-K77)+K77</f>
        <v>0.64</v>
      </c>
      <c r="S81" s="61">
        <f>(1 / (1 + EXP(-K79*(-0.3)))) * (K78-K77) + K77</f>
        <v>0.3543436938</v>
      </c>
      <c r="T81" s="61">
        <f>(1 / (1 + EXP(-K79*(0.3)))) * (K78-K77) + K77</f>
        <v>0.6456563062</v>
      </c>
      <c r="U81" s="61">
        <f>(1 / (1 + EXP(-K79*(0.2))) - 0.5) *  (K78-K77) + K77</f>
        <v>0.09868766011</v>
      </c>
      <c r="V81" s="99">
        <f>(1 / (1 + EXP(-K79*(-0.2))) + 0.5) * (K78-K77) + K77</f>
        <v>0.9013123399</v>
      </c>
      <c r="W81" s="100"/>
      <c r="X81" s="100"/>
      <c r="Y81" s="101"/>
      <c r="Z81" s="102"/>
    </row>
    <row r="82" ht="14.25" customHeight="1">
      <c r="H82" s="103">
        <f>H81+(I78-I77)/10</f>
        <v>3.7</v>
      </c>
      <c r="I82" s="61">
        <f>OFFSET(L80,0,I76,1,1)</f>
        <v>0.1</v>
      </c>
      <c r="M82" s="98">
        <f>M81+(M89-M79)/10</f>
        <v>0.3</v>
      </c>
      <c r="N82" s="61">
        <f>N81-(N79-N89)/10</f>
        <v>0.7</v>
      </c>
      <c r="O82" s="61">
        <f>(1 - POWER(0.7,K79)) * (K78-K77) + K77</f>
        <v>0.51</v>
      </c>
      <c r="P82" s="61">
        <f>(1 - POWER(0.3,K79)) * (K78-K77) + K77</f>
        <v>0.91</v>
      </c>
      <c r="Q82" s="61">
        <f>POWER(0.3,K79) * (K78-K77)+K77</f>
        <v>0.09</v>
      </c>
      <c r="R82" s="61">
        <f>POWER(0.7,K79) * (K78-K77)+K77</f>
        <v>0.49</v>
      </c>
      <c r="S82" s="61">
        <f>(1 / (1 + EXP(-K79*(-0.2)))) * (K78-K77) + K77</f>
        <v>0.4013123399</v>
      </c>
      <c r="T82" s="61">
        <f>(1 / (1 + EXP(-K79*(0.2)))) * (K78-K77) + K77</f>
        <v>0.5986876601</v>
      </c>
      <c r="U82" s="61">
        <f>(1 / (1 + EXP(-K79*(0.3))) - 0.5) * (K78-K77) + K77</f>
        <v>0.1456563062</v>
      </c>
      <c r="V82" s="99">
        <f>(1 / (1 + EXP(-K79*(-0.3))) + 0.5) * (K78-K77) + K77</f>
        <v>0.8543436938</v>
      </c>
      <c r="W82" s="100"/>
      <c r="X82" s="100"/>
      <c r="Y82" s="101"/>
      <c r="Z82" s="102"/>
    </row>
    <row r="83" ht="14.25" customHeight="1">
      <c r="H83" s="103">
        <f>H82+(I78-I77)/10</f>
        <v>4.4</v>
      </c>
      <c r="I83" s="61">
        <f>OFFSET(L81,0,I76,1,1)</f>
        <v>0.2</v>
      </c>
      <c r="M83" s="98">
        <f>M82+(M89-M79)/10</f>
        <v>0.4</v>
      </c>
      <c r="N83" s="61">
        <f>N82-(N79-N89)/10</f>
        <v>0.6</v>
      </c>
      <c r="O83" s="61">
        <f>(1 - POWER(0.6,K79)) * (K78-K77) + K77</f>
        <v>0.64</v>
      </c>
      <c r="P83" s="61">
        <f>(1 - POWER(0.4,K79)) * (K78-K77) + K77</f>
        <v>0.84</v>
      </c>
      <c r="Q83" s="61">
        <f>POWER(0.4,K79) * (K78-K77)+K77</f>
        <v>0.16</v>
      </c>
      <c r="R83" s="61">
        <f>POWER(0.6,K79) * (K78-K77)+K77</f>
        <v>0.36</v>
      </c>
      <c r="S83" s="61">
        <f>(1 / (1 + EXP(-K79*(-0.1)))) * (K78-K77) + K77</f>
        <v>0.4501660027</v>
      </c>
      <c r="T83" s="61">
        <f>(1 / (1 + EXP(-K79*(0.1)))) * (K78-K77) + K77</f>
        <v>0.5498339973</v>
      </c>
      <c r="U83" s="61">
        <f>(1 / (1 + EXP(-K79*(0.4))) - 0.5) * (K78-K77) + K77</f>
        <v>0.1899744811</v>
      </c>
      <c r="V83" s="99">
        <f>(1 / (1 + EXP(-K79*(-0.4))) + 0.5) * (K78-K77) + K77</f>
        <v>0.8100255189</v>
      </c>
      <c r="W83" s="100"/>
      <c r="X83" s="100"/>
      <c r="Y83" s="101"/>
      <c r="Z83" s="102"/>
    </row>
    <row r="84" ht="14.25" customHeight="1">
      <c r="H84" s="103">
        <f>H83+(I78-I77)/10</f>
        <v>5.1</v>
      </c>
      <c r="I84" s="61">
        <f>OFFSET(L82,0,I76,1,1)</f>
        <v>0.3</v>
      </c>
      <c r="M84" s="98">
        <f>M83+(M89-M79)/10</f>
        <v>0.5</v>
      </c>
      <c r="N84" s="61">
        <f>N83-(N79-N89)/10</f>
        <v>0.5</v>
      </c>
      <c r="O84" s="61">
        <f>(1 - POWER(0.5,K79)) * (K78-K77) + K77</f>
        <v>0.75</v>
      </c>
      <c r="P84" s="61">
        <f>(1 - POWER(0.5,K79)) * (K78-K77) + K77</f>
        <v>0.75</v>
      </c>
      <c r="Q84" s="61">
        <f>POWER(0.5,K79) * (K78-K77)+K77</f>
        <v>0.25</v>
      </c>
      <c r="R84" s="61">
        <f>POWER(0.5,K79) * (K78-K77)+K77</f>
        <v>0.25</v>
      </c>
      <c r="S84" s="61">
        <f>(1 / (1 + EXP(-K79*(0)))) * (K78-K77) + K77</f>
        <v>0.5</v>
      </c>
      <c r="T84" s="61">
        <f>(1 / (1 + EXP(-K79*(0)))) * (K78-K77) + K77</f>
        <v>0.5</v>
      </c>
      <c r="U84" s="61">
        <f>(1 / (1 + EXP(-K79*(0.5))) - 0.5) * (K78-K77) + K77</f>
        <v>0.2310585786</v>
      </c>
      <c r="V84" s="99">
        <f>(1 / (1 + EXP(-K79*(0.5))) - 0.5) * (K78-K77) + K77</f>
        <v>0.2310585786</v>
      </c>
      <c r="W84" s="100"/>
      <c r="X84" s="100"/>
      <c r="Y84" s="101"/>
      <c r="Z84" s="102"/>
    </row>
    <row r="85" ht="14.25" customHeight="1">
      <c r="H85" s="103">
        <f>H84+(I78-I77)/10</f>
        <v>5.8</v>
      </c>
      <c r="I85" s="61">
        <f>OFFSET(L83,0,I76,1,1)</f>
        <v>0.4</v>
      </c>
      <c r="M85" s="98">
        <f>M84+(M89-M79)/10</f>
        <v>0.6</v>
      </c>
      <c r="N85" s="61">
        <f>N84-(N79-N89)/10</f>
        <v>0.4</v>
      </c>
      <c r="O85" s="61">
        <f>(1 - POWER(0.4,K79)) * (K78-K77) + K77</f>
        <v>0.84</v>
      </c>
      <c r="P85" s="61">
        <f>(1 - POWER(0.6,K79)) * (K78-K77) + K77</f>
        <v>0.64</v>
      </c>
      <c r="Q85" s="61">
        <f>POWER(0.6,K79) * (K78-K77)+K77</f>
        <v>0.36</v>
      </c>
      <c r="R85" s="61">
        <f>POWER(0.4,K79) * (K78-K77)+K77</f>
        <v>0.16</v>
      </c>
      <c r="S85" s="61">
        <f>(1 / (1 + EXP(-K79*(0.1)))) * (K78-K77) + K77</f>
        <v>0.5498339973</v>
      </c>
      <c r="T85" s="61">
        <f>(1 / (1 + EXP(-K79*(-0.1)))) * (K78-K77) + K77</f>
        <v>0.4501660027</v>
      </c>
      <c r="U85" s="61">
        <f>(1 / (1 + EXP(-K79*(-0.4))) + 0.5) * (K78-K77) + K77</f>
        <v>0.8100255189</v>
      </c>
      <c r="V85" s="99">
        <f>(1 / (1 + EXP(-K79*(0.4))) - 0.5) * (K78-K77) + K77</f>
        <v>0.1899744811</v>
      </c>
      <c r="W85" s="100"/>
      <c r="X85" s="100"/>
      <c r="Y85" s="101"/>
      <c r="Z85" s="102"/>
    </row>
    <row r="86" ht="14.25" customHeight="1">
      <c r="H86" s="103">
        <f>H85+(I78-I77)/10</f>
        <v>6.5</v>
      </c>
      <c r="I86" s="61">
        <f>OFFSET(L84,0,I76,1,1)</f>
        <v>0.5</v>
      </c>
      <c r="M86" s="98">
        <f>M85+(M89-M79)/10</f>
        <v>0.7</v>
      </c>
      <c r="N86" s="61">
        <f>N85-(N79-N89)/10</f>
        <v>0.3</v>
      </c>
      <c r="O86" s="61">
        <f>(1 - POWER(0.3,K79)) * (K78-K77) + K77</f>
        <v>0.91</v>
      </c>
      <c r="P86" s="61">
        <f>(1 - POWER(0.7,K79)) * (K78-K77) + K77</f>
        <v>0.51</v>
      </c>
      <c r="Q86" s="61">
        <f>POWER(0.7,K79) * (K78-K77)+K77</f>
        <v>0.49</v>
      </c>
      <c r="R86" s="61">
        <f>POWER(0.3,K79) * (K78-K77)+K77</f>
        <v>0.09</v>
      </c>
      <c r="S86" s="61">
        <f>(1 / (1 + EXP(-K79*(0.2)))) * (K78-K77) + K77</f>
        <v>0.5986876601</v>
      </c>
      <c r="T86" s="61">
        <f>(1 / (1 + EXP(-K79*(-0.2)))) * (K78-K77) + K77</f>
        <v>0.4013123399</v>
      </c>
      <c r="U86" s="61">
        <f>(1 / (1 + EXP(-K79*(-0.3))) + 0.5) * (K78-K77) + K77</f>
        <v>0.8543436938</v>
      </c>
      <c r="V86" s="99">
        <f>(1 / (1 + EXP(-K79*(0.3))) - 0.5) * (K78-K77) + K77</f>
        <v>0.1456563062</v>
      </c>
      <c r="W86" s="100"/>
      <c r="X86" s="100"/>
      <c r="Y86" s="101"/>
      <c r="Z86" s="102"/>
    </row>
    <row r="87" ht="14.25" customHeight="1">
      <c r="H87" s="103">
        <f>H86+(I78-I77)/10</f>
        <v>7.2</v>
      </c>
      <c r="I87" s="61">
        <f>OFFSET(L85,0,I76,1,1)</f>
        <v>0.6</v>
      </c>
      <c r="M87" s="98">
        <f>M86+(M89-M79)/10</f>
        <v>0.8</v>
      </c>
      <c r="N87" s="61">
        <f>N86-(N79-N89)/10</f>
        <v>0.2</v>
      </c>
      <c r="O87" s="61">
        <f>(1 - POWER(0.2,K79)) * (K78-K77) + K77</f>
        <v>0.96</v>
      </c>
      <c r="P87" s="61">
        <f>(1 - POWER(0.8,K79)) * (K78-K77) + K77</f>
        <v>0.36</v>
      </c>
      <c r="Q87" s="61">
        <f>POWER(0.8,K79) * (K78-K77)+K77</f>
        <v>0.64</v>
      </c>
      <c r="R87" s="61">
        <f>POWER(0.2,K79) * (K78-K77)+K77</f>
        <v>0.04</v>
      </c>
      <c r="S87" s="61">
        <f>(1 / (1 + EXP(-K79*(0.3)))) * (K78-K77) + K77</f>
        <v>0.6456563062</v>
      </c>
      <c r="T87" s="61">
        <f>(1 / (1 + EXP(-K79*(-0.3)))) * (K78-K77) + K77</f>
        <v>0.3543436938</v>
      </c>
      <c r="U87" s="61">
        <f>(1 / (1 + EXP(-K79*(-0.2))) + 0.5) * (K78-K77) + K77</f>
        <v>0.9013123399</v>
      </c>
      <c r="V87" s="99">
        <f>(1 / (1 + EXP(-K79*(0.2))) - 0.5) *  (K78-K77) + K77</f>
        <v>0.09868766011</v>
      </c>
      <c r="W87" s="100"/>
      <c r="X87" s="100"/>
      <c r="Y87" s="101"/>
      <c r="Z87" s="102"/>
    </row>
    <row r="88" ht="14.25" customHeight="1">
      <c r="H88" s="103">
        <f>H87+(I78-I77)/10</f>
        <v>7.9</v>
      </c>
      <c r="I88" s="61">
        <f>OFFSET(L86,0,I76,1,1)</f>
        <v>0.7</v>
      </c>
      <c r="M88" s="98">
        <f>M87+(M89-M79)/10</f>
        <v>0.9</v>
      </c>
      <c r="N88" s="61">
        <f>N87-(N79-N89)/10</f>
        <v>0.1</v>
      </c>
      <c r="O88" s="61">
        <f>(1 - POWER(0.1,K79)) * (K78-K77) + K77</f>
        <v>0.99</v>
      </c>
      <c r="P88" s="61">
        <f>(1 - POWER(0.9,K79)) * (K78-K77) + K77</f>
        <v>0.19</v>
      </c>
      <c r="Q88" s="61">
        <f>POWER(0.9,K79) * (K78-K77)+K77</f>
        <v>0.81</v>
      </c>
      <c r="R88" s="61">
        <f>POWER(0.1,K79) * (K78-K77)+K77</f>
        <v>0.01</v>
      </c>
      <c r="S88" s="61">
        <f>(1 / (1 + EXP(-K79*(0.4)))) * (K78-K77) + K77</f>
        <v>0.6899744811</v>
      </c>
      <c r="T88" s="61">
        <f>(1 / (1 + EXP(-K79*(-0.4)))) * (K78-K77) + K77</f>
        <v>0.3100255189</v>
      </c>
      <c r="U88" s="61">
        <f>(1 / (1 + EXP(-K79*(-0.1))) + 0.5) * (K78-K77) + K77</f>
        <v>0.9501660027</v>
      </c>
      <c r="V88" s="99">
        <f>(1 / (1 + EXP(-K79*(0.1))) - 0.5) * (K78-K77) + K77</f>
        <v>0.04983399731</v>
      </c>
      <c r="W88" s="100"/>
      <c r="X88" s="100"/>
      <c r="Y88" s="101"/>
      <c r="Z88" s="102"/>
    </row>
    <row r="89" ht="14.25" customHeight="1">
      <c r="H89" s="103">
        <f>H88+(I78-I77)/10</f>
        <v>8.6</v>
      </c>
      <c r="I89" s="61">
        <f>OFFSET(L87,0,I76,1,1)</f>
        <v>0.8</v>
      </c>
      <c r="M89" s="104">
        <f>K78</f>
        <v>1</v>
      </c>
      <c r="N89" s="105">
        <f>K77</f>
        <v>0</v>
      </c>
      <c r="O89" s="105">
        <f>K78</f>
        <v>1</v>
      </c>
      <c r="P89" s="105">
        <f>K77</f>
        <v>0</v>
      </c>
      <c r="Q89" s="105">
        <f>K78</f>
        <v>1</v>
      </c>
      <c r="R89" s="105">
        <f>K77</f>
        <v>0</v>
      </c>
      <c r="S89" s="105">
        <f>K78</f>
        <v>1</v>
      </c>
      <c r="T89" s="105">
        <f>K77</f>
        <v>0</v>
      </c>
      <c r="U89" s="105">
        <f>K78</f>
        <v>1</v>
      </c>
      <c r="V89" s="106">
        <f>K77</f>
        <v>0</v>
      </c>
      <c r="W89" s="107"/>
      <c r="X89" s="107"/>
      <c r="Y89" s="108"/>
      <c r="Z89" s="109"/>
    </row>
    <row r="90" ht="14.25" customHeight="1">
      <c r="H90" s="103">
        <f>H89+(I78-I77)/10</f>
        <v>9.3</v>
      </c>
      <c r="I90" s="61">
        <f>OFFSET(L88,0,I76,1,1)</f>
        <v>0.9</v>
      </c>
    </row>
    <row r="91" ht="14.25" customHeight="1">
      <c r="H91" s="103">
        <f>I78</f>
        <v>10</v>
      </c>
      <c r="I91" s="61">
        <f>OFFSET(L89,0,I76,1,1)</f>
        <v>1</v>
      </c>
    </row>
    <row r="92" ht="14.25" customHeight="1">
      <c r="A92" s="70"/>
      <c r="B92" s="70"/>
      <c r="C92" s="70"/>
      <c r="D92" s="70"/>
      <c r="E92" s="70"/>
      <c r="F92" s="70"/>
      <c r="G92" s="70"/>
      <c r="H92" s="70"/>
      <c r="I92" s="70"/>
      <c r="J92" s="70"/>
      <c r="K92" s="70"/>
      <c r="L92" s="70"/>
      <c r="M92" s="70"/>
      <c r="N92" s="70"/>
      <c r="O92" s="70"/>
      <c r="P92" s="70"/>
      <c r="Q92" s="70"/>
      <c r="R92" s="70"/>
      <c r="S92" s="70"/>
      <c r="T92" s="70"/>
      <c r="U92" s="70"/>
      <c r="V92" s="70"/>
      <c r="W92" s="70"/>
      <c r="X92" s="70"/>
      <c r="Y92" s="70"/>
      <c r="Z92" s="70"/>
    </row>
    <row r="93" ht="14.25" customHeight="1"/>
    <row r="94" ht="14.25" customHeight="1">
      <c r="H94" s="72" t="s">
        <v>50</v>
      </c>
      <c r="I94" s="73">
        <v>1.0</v>
      </c>
      <c r="J94" s="73"/>
      <c r="K94" s="74"/>
      <c r="M94" s="75" t="s">
        <v>51</v>
      </c>
      <c r="N94" s="54"/>
      <c r="O94" s="54"/>
      <c r="P94" s="54"/>
      <c r="Q94" s="54"/>
      <c r="R94" s="54"/>
      <c r="S94" s="54"/>
      <c r="T94" s="54"/>
      <c r="U94" s="54"/>
      <c r="V94" s="55"/>
      <c r="W94" s="76" t="s">
        <v>52</v>
      </c>
      <c r="X94" s="77"/>
      <c r="Y94" s="76" t="s">
        <v>53</v>
      </c>
      <c r="Z94" s="77"/>
    </row>
    <row r="95" ht="14.25" customHeight="1">
      <c r="H95" s="78" t="s">
        <v>54</v>
      </c>
      <c r="I95" s="79">
        <f>'Raw Data'!F9</f>
        <v>5</v>
      </c>
      <c r="J95" s="80" t="s">
        <v>55</v>
      </c>
      <c r="K95" s="81">
        <v>0.0</v>
      </c>
      <c r="M95" s="58" t="s">
        <v>56</v>
      </c>
      <c r="N95" s="27"/>
      <c r="O95" s="58" t="s">
        <v>57</v>
      </c>
      <c r="P95" s="27"/>
      <c r="Q95" s="58" t="s">
        <v>58</v>
      </c>
      <c r="R95" s="27"/>
      <c r="S95" s="58" t="s">
        <v>59</v>
      </c>
      <c r="T95" s="27"/>
      <c r="U95" s="58" t="s">
        <v>60</v>
      </c>
      <c r="V95" s="27"/>
      <c r="W95" s="82"/>
      <c r="X95" s="83"/>
      <c r="Y95" s="82"/>
      <c r="Z95" s="83"/>
    </row>
    <row r="96" ht="14.25" customHeight="1">
      <c r="H96" s="78" t="s">
        <v>61</v>
      </c>
      <c r="I96" s="79">
        <f>'Raw Data'!F10</f>
        <v>8</v>
      </c>
      <c r="J96" s="80" t="s">
        <v>62</v>
      </c>
      <c r="K96" s="81">
        <v>1.0</v>
      </c>
      <c r="M96" s="84" t="s">
        <v>63</v>
      </c>
      <c r="N96" s="85" t="s">
        <v>64</v>
      </c>
      <c r="O96" s="84" t="s">
        <v>63</v>
      </c>
      <c r="P96" s="85" t="s">
        <v>64</v>
      </c>
      <c r="Q96" s="84" t="s">
        <v>63</v>
      </c>
      <c r="R96" s="85" t="s">
        <v>64</v>
      </c>
      <c r="S96" s="84" t="s">
        <v>63</v>
      </c>
      <c r="T96" s="85" t="s">
        <v>64</v>
      </c>
      <c r="U96" s="84" t="s">
        <v>63</v>
      </c>
      <c r="V96" s="85" t="s">
        <v>64</v>
      </c>
      <c r="W96" s="86" t="s">
        <v>65</v>
      </c>
      <c r="X96" s="86" t="s">
        <v>66</v>
      </c>
      <c r="Y96" s="86" t="s">
        <v>67</v>
      </c>
      <c r="Z96" s="87" t="s">
        <v>68</v>
      </c>
    </row>
    <row r="97" ht="14.25" customHeight="1">
      <c r="H97" s="88"/>
      <c r="I97" s="89"/>
      <c r="J97" s="90" t="s">
        <v>69</v>
      </c>
      <c r="K97" s="91">
        <v>2.0</v>
      </c>
      <c r="M97" s="92">
        <f>K95</f>
        <v>0</v>
      </c>
      <c r="N97" s="93">
        <f>K96</f>
        <v>1</v>
      </c>
      <c r="O97" s="93">
        <f>K95</f>
        <v>0</v>
      </c>
      <c r="P97" s="93">
        <f>K96</f>
        <v>1</v>
      </c>
      <c r="Q97" s="93">
        <f>K95</f>
        <v>0</v>
      </c>
      <c r="R97" s="93">
        <f>K96</f>
        <v>1</v>
      </c>
      <c r="S97" s="93">
        <f>K95</f>
        <v>0</v>
      </c>
      <c r="T97" s="93">
        <f>K96</f>
        <v>1</v>
      </c>
      <c r="U97" s="93">
        <f>K95</f>
        <v>0</v>
      </c>
      <c r="V97" s="94">
        <f>K96</f>
        <v>1</v>
      </c>
      <c r="W97" s="95"/>
      <c r="X97" s="95"/>
      <c r="Y97" s="96"/>
      <c r="Z97" s="97"/>
    </row>
    <row r="98" ht="14.25" customHeight="1">
      <c r="H98" s="63" t="s">
        <v>70</v>
      </c>
      <c r="I98" s="63" t="s">
        <v>68</v>
      </c>
      <c r="M98" s="98">
        <f>M97+(M107-M97)/10</f>
        <v>0.1</v>
      </c>
      <c r="N98" s="61">
        <f>N97-(N97-N107)/10</f>
        <v>0.9</v>
      </c>
      <c r="O98" s="61">
        <f>(1 - POWER(0.9,K97)) * (K96-K95) + K95</f>
        <v>0.19</v>
      </c>
      <c r="P98" s="61">
        <f>(1 - POWER(0.1,K97)) * (K96-K95) + K95</f>
        <v>0.99</v>
      </c>
      <c r="Q98" s="61">
        <f>POWER(0.1,K97) * (K96-K95)+K95</f>
        <v>0.01</v>
      </c>
      <c r="R98" s="61">
        <f>POWER(0.9,K97) * (K96-K95)+K95</f>
        <v>0.81</v>
      </c>
      <c r="S98" s="61">
        <f>(1 / (1 + EXP(-K97*(-0.4)))) * (K96-K95) + K95</f>
        <v>0.3100255189</v>
      </c>
      <c r="T98" s="61">
        <f>(1 / (1 + EXP(-K97*(0.4)))) * (K96-K95) + K95</f>
        <v>0.6899744811</v>
      </c>
      <c r="U98" s="61">
        <f>(1 / (1 + EXP(-K97*(0.1))) - 0.5) * (K96-K95) + K95</f>
        <v>0.04983399731</v>
      </c>
      <c r="V98" s="99">
        <f>(1 / (1 + EXP(-K97*(-0.1))) + 0.5) * (K96-K95) + K95</f>
        <v>0.9501660027</v>
      </c>
      <c r="W98" s="100"/>
      <c r="X98" s="100"/>
      <c r="Y98" s="101"/>
      <c r="Z98" s="102"/>
    </row>
    <row r="99" ht="14.25" customHeight="1">
      <c r="H99" s="103">
        <f>I95</f>
        <v>5</v>
      </c>
      <c r="I99" s="61">
        <f>OFFSET(L97,0,I94,1,1)</f>
        <v>0</v>
      </c>
      <c r="M99" s="98">
        <f>M98+(M107-M97)/10</f>
        <v>0.2</v>
      </c>
      <c r="N99" s="61">
        <f>N98-(N97-N107)/10</f>
        <v>0.8</v>
      </c>
      <c r="O99" s="61">
        <f>(1 - POWER(0.8,K97)) * (K96-K95) + K95</f>
        <v>0.36</v>
      </c>
      <c r="P99" s="61">
        <f>(1 - POWER(0.2,K97)) * (K96-K95) + K95</f>
        <v>0.96</v>
      </c>
      <c r="Q99" s="61">
        <f>POWER(0.2,K97) * (K96-K95)+K95</f>
        <v>0.04</v>
      </c>
      <c r="R99" s="61">
        <f>POWER(0.8,K97) * (K96-K95)+K95</f>
        <v>0.64</v>
      </c>
      <c r="S99" s="61">
        <f>(1 / (1 + EXP(-K97*(-0.3)))) * (K96-K95) + K95</f>
        <v>0.3543436938</v>
      </c>
      <c r="T99" s="61">
        <f>(1 / (1 + EXP(-K97*(0.3)))) * (K96-K95) + K95</f>
        <v>0.6456563062</v>
      </c>
      <c r="U99" s="61">
        <f>(1 / (1 + EXP(-K97*(0.2))) - 0.5) *  (K96-K95) + K95</f>
        <v>0.09868766011</v>
      </c>
      <c r="V99" s="99">
        <f>(1 / (1 + EXP(-K97*(-0.2))) + 0.5) * (K96-K95) + K95</f>
        <v>0.9013123399</v>
      </c>
      <c r="W99" s="100"/>
      <c r="X99" s="100"/>
      <c r="Y99" s="101"/>
      <c r="Z99" s="102"/>
    </row>
    <row r="100" ht="14.25" customHeight="1">
      <c r="H100" s="103">
        <f>H99+(I96-I95)/10</f>
        <v>5.3</v>
      </c>
      <c r="I100" s="61">
        <f>OFFSET(L98,0,I94,1,1)</f>
        <v>0.1</v>
      </c>
      <c r="M100" s="98">
        <f>M99+(M107-M97)/10</f>
        <v>0.3</v>
      </c>
      <c r="N100" s="61">
        <f>N99-(N97-N107)/10</f>
        <v>0.7</v>
      </c>
      <c r="O100" s="61">
        <f>(1 - POWER(0.7,K97)) * (K96-K95) + K95</f>
        <v>0.51</v>
      </c>
      <c r="P100" s="61">
        <f>(1 - POWER(0.3,K97)) * (K96-K95) + K95</f>
        <v>0.91</v>
      </c>
      <c r="Q100" s="61">
        <f>POWER(0.3,K97) * (K96-K95)+K95</f>
        <v>0.09</v>
      </c>
      <c r="R100" s="61">
        <f>POWER(0.7,K97) * (K96-K95)+K95</f>
        <v>0.49</v>
      </c>
      <c r="S100" s="61">
        <f>(1 / (1 + EXP(-K97*(-0.2)))) * (K96-K95) + K95</f>
        <v>0.4013123399</v>
      </c>
      <c r="T100" s="61">
        <f>(1 / (1 + EXP(-K97*(0.2)))) * (K96-K95) + K95</f>
        <v>0.5986876601</v>
      </c>
      <c r="U100" s="61">
        <f>(1 / (1 + EXP(-K97*(0.3))) - 0.5) * (K96-K95) + K95</f>
        <v>0.1456563062</v>
      </c>
      <c r="V100" s="99">
        <f>(1 / (1 + EXP(-K97*(-0.3))) + 0.5) * (K96-K95) + K95</f>
        <v>0.8543436938</v>
      </c>
      <c r="W100" s="100"/>
      <c r="X100" s="100"/>
      <c r="Y100" s="101"/>
      <c r="Z100" s="102"/>
    </row>
    <row r="101" ht="14.25" customHeight="1">
      <c r="H101" s="103">
        <f>H100+(I96-I95)/10</f>
        <v>5.6</v>
      </c>
      <c r="I101" s="61">
        <f>OFFSET(L99,0,I94,1,1)</f>
        <v>0.2</v>
      </c>
      <c r="M101" s="98">
        <f>M100+(M107-M97)/10</f>
        <v>0.4</v>
      </c>
      <c r="N101" s="61">
        <f>N100-(N97-N107)/10</f>
        <v>0.6</v>
      </c>
      <c r="O101" s="61">
        <f>(1 - POWER(0.6,K97)) * (K96-K95) + K95</f>
        <v>0.64</v>
      </c>
      <c r="P101" s="61">
        <f>(1 - POWER(0.4,K97)) * (K96-K95) + K95</f>
        <v>0.84</v>
      </c>
      <c r="Q101" s="61">
        <f>POWER(0.4,K97) * (K96-K95)+K95</f>
        <v>0.16</v>
      </c>
      <c r="R101" s="61">
        <f>POWER(0.6,K97) * (K96-K95)+K95</f>
        <v>0.36</v>
      </c>
      <c r="S101" s="61">
        <f>(1 / (1 + EXP(-K97*(-0.1)))) * (K96-K95) + K95</f>
        <v>0.4501660027</v>
      </c>
      <c r="T101" s="61">
        <f>(1 / (1 + EXP(-K97*(0.1)))) * (K96-K95) + K95</f>
        <v>0.5498339973</v>
      </c>
      <c r="U101" s="61">
        <f>(1 / (1 + EXP(-K97*(0.4))) - 0.5) * (K96-K95) + K95</f>
        <v>0.1899744811</v>
      </c>
      <c r="V101" s="99">
        <f>(1 / (1 + EXP(-K97*(-0.4))) + 0.5) * (K96-K95) + K95</f>
        <v>0.8100255189</v>
      </c>
      <c r="W101" s="100"/>
      <c r="X101" s="100"/>
      <c r="Y101" s="101"/>
      <c r="Z101" s="102"/>
    </row>
    <row r="102" ht="14.25" customHeight="1">
      <c r="H102" s="103">
        <f>H101+(I96-I95)/10</f>
        <v>5.9</v>
      </c>
      <c r="I102" s="61">
        <f>OFFSET(L100,0,I94,1,1)</f>
        <v>0.3</v>
      </c>
      <c r="M102" s="98">
        <f>M101+(M107-M97)/10</f>
        <v>0.5</v>
      </c>
      <c r="N102" s="61">
        <f>N101-(N97-N107)/10</f>
        <v>0.5</v>
      </c>
      <c r="O102" s="61">
        <f>(1 - POWER(0.5,K97)) * (K96-K95) + K95</f>
        <v>0.75</v>
      </c>
      <c r="P102" s="61">
        <f>(1 - POWER(0.5,K97)) * (K96-K95) + K95</f>
        <v>0.75</v>
      </c>
      <c r="Q102" s="61">
        <f>POWER(0.5,K97) * (K96-K95)+K95</f>
        <v>0.25</v>
      </c>
      <c r="R102" s="61">
        <f>POWER(0.5,K97) * (K96-K95)+K95</f>
        <v>0.25</v>
      </c>
      <c r="S102" s="61">
        <f>(1 / (1 + EXP(-K97*(0)))) * (K96-K95) + K95</f>
        <v>0.5</v>
      </c>
      <c r="T102" s="61">
        <f>(1 / (1 + EXP(-K97*(0)))) * (K96-K95) + K95</f>
        <v>0.5</v>
      </c>
      <c r="U102" s="61">
        <f>(1 / (1 + EXP(-K97*(0.5))) - 0.5) * (K96-K95) + K95</f>
        <v>0.2310585786</v>
      </c>
      <c r="V102" s="99">
        <f>(1 / (1 + EXP(-K97*(0.5))) - 0.5) * (K96-K95) + K95</f>
        <v>0.2310585786</v>
      </c>
      <c r="W102" s="100"/>
      <c r="X102" s="100"/>
      <c r="Y102" s="101"/>
      <c r="Z102" s="102"/>
    </row>
    <row r="103" ht="14.25" customHeight="1">
      <c r="H103" s="103">
        <f>H102+(I96-I95)/10</f>
        <v>6.2</v>
      </c>
      <c r="I103" s="61">
        <f>OFFSET(L101,0,I94,1,1)</f>
        <v>0.4</v>
      </c>
      <c r="M103" s="98">
        <f>M102+(M107-M97)/10</f>
        <v>0.6</v>
      </c>
      <c r="N103" s="61">
        <f>N102-(N97-N107)/10</f>
        <v>0.4</v>
      </c>
      <c r="O103" s="61">
        <f>(1 - POWER(0.4,K97)) * (K96-K95) + K95</f>
        <v>0.84</v>
      </c>
      <c r="P103" s="61">
        <f>(1 - POWER(0.6,K97)) * (K96-K95) + K95</f>
        <v>0.64</v>
      </c>
      <c r="Q103" s="61">
        <f>POWER(0.6,K97) * (K96-K95)+K95</f>
        <v>0.36</v>
      </c>
      <c r="R103" s="61">
        <f>POWER(0.4,K97) * (K96-K95)+K95</f>
        <v>0.16</v>
      </c>
      <c r="S103" s="61">
        <f>(1 / (1 + EXP(-K97*(0.1)))) * (K96-K95) + K95</f>
        <v>0.5498339973</v>
      </c>
      <c r="T103" s="61">
        <f>(1 / (1 + EXP(-K97*(-0.1)))) * (K96-K95) + K95</f>
        <v>0.4501660027</v>
      </c>
      <c r="U103" s="61">
        <f>(1 / (1 + EXP(-K97*(-0.4))) + 0.5) * (K96-K95) + K95</f>
        <v>0.8100255189</v>
      </c>
      <c r="V103" s="99">
        <f>(1 / (1 + EXP(-K97*(0.4))) - 0.5) * (K96-K95) + K95</f>
        <v>0.1899744811</v>
      </c>
      <c r="W103" s="100"/>
      <c r="X103" s="100"/>
      <c r="Y103" s="101"/>
      <c r="Z103" s="102"/>
    </row>
    <row r="104" ht="14.25" customHeight="1">
      <c r="H104" s="103">
        <f>H103+(I96-I95)/10</f>
        <v>6.5</v>
      </c>
      <c r="I104" s="61">
        <f>OFFSET(L102,0,I94,1,1)</f>
        <v>0.5</v>
      </c>
      <c r="M104" s="98">
        <f>M103+(M107-M97)/10</f>
        <v>0.7</v>
      </c>
      <c r="N104" s="61">
        <f>N103-(N97-N107)/10</f>
        <v>0.3</v>
      </c>
      <c r="O104" s="61">
        <f>(1 - POWER(0.3,K97)) * (K96-K95) + K95</f>
        <v>0.91</v>
      </c>
      <c r="P104" s="61">
        <f>(1 - POWER(0.7,K97)) * (K96-K95) + K95</f>
        <v>0.51</v>
      </c>
      <c r="Q104" s="61">
        <f>POWER(0.7,K97) * (K96-K95)+K95</f>
        <v>0.49</v>
      </c>
      <c r="R104" s="61">
        <f>POWER(0.3,K97) * (K96-K95)+K95</f>
        <v>0.09</v>
      </c>
      <c r="S104" s="61">
        <f>(1 / (1 + EXP(-K97*(0.2)))) * (K96-K95) + K95</f>
        <v>0.5986876601</v>
      </c>
      <c r="T104" s="61">
        <f>(1 / (1 + EXP(-K97*(-0.2)))) * (K96-K95) + K95</f>
        <v>0.4013123399</v>
      </c>
      <c r="U104" s="61">
        <f>(1 / (1 + EXP(-K97*(-0.3))) + 0.5) * (K96-K95) + K95</f>
        <v>0.8543436938</v>
      </c>
      <c r="V104" s="99">
        <f>(1 / (1 + EXP(-K97*(0.3))) - 0.5) * (K96-K95) + K95</f>
        <v>0.1456563062</v>
      </c>
      <c r="W104" s="100"/>
      <c r="X104" s="100"/>
      <c r="Y104" s="101"/>
      <c r="Z104" s="102"/>
    </row>
    <row r="105" ht="14.25" customHeight="1">
      <c r="H105" s="103">
        <f>H104+(I96-I95)/10</f>
        <v>6.8</v>
      </c>
      <c r="I105" s="61">
        <f>OFFSET(L103,0,I94,1,1)</f>
        <v>0.6</v>
      </c>
      <c r="M105" s="98">
        <f>M104+(M107-M97)/10</f>
        <v>0.8</v>
      </c>
      <c r="N105" s="61">
        <f>N104-(N97-N107)/10</f>
        <v>0.2</v>
      </c>
      <c r="O105" s="61">
        <f>(1 - POWER(0.2,K97)) * (K96-K95) + K95</f>
        <v>0.96</v>
      </c>
      <c r="P105" s="61">
        <f>(1 - POWER(0.8,K97)) * (K96-K95) + K95</f>
        <v>0.36</v>
      </c>
      <c r="Q105" s="61">
        <f>POWER(0.8,K97) * (K96-K95)+K95</f>
        <v>0.64</v>
      </c>
      <c r="R105" s="61">
        <f>POWER(0.2,K97) * (K96-K95)+K95</f>
        <v>0.04</v>
      </c>
      <c r="S105" s="61">
        <f>(1 / (1 + EXP(-K97*(0.3)))) * (K96-K95) + K95</f>
        <v>0.6456563062</v>
      </c>
      <c r="T105" s="61">
        <f>(1 / (1 + EXP(-K97*(-0.3)))) * (K96-K95) + K95</f>
        <v>0.3543436938</v>
      </c>
      <c r="U105" s="61">
        <f>(1 / (1 + EXP(-K97*(-0.2))) + 0.5) * (K96-K95) + K95</f>
        <v>0.9013123399</v>
      </c>
      <c r="V105" s="99">
        <f>(1 / (1 + EXP(-K97*(0.2))) - 0.5) *  (K96-K95) + K95</f>
        <v>0.09868766011</v>
      </c>
      <c r="W105" s="100"/>
      <c r="X105" s="100"/>
      <c r="Y105" s="101"/>
      <c r="Z105" s="102"/>
    </row>
    <row r="106" ht="14.25" customHeight="1">
      <c r="H106" s="103">
        <f>H105+(I96-I95)/10</f>
        <v>7.1</v>
      </c>
      <c r="I106" s="61">
        <f>OFFSET(L104,0,I94,1,1)</f>
        <v>0.7</v>
      </c>
      <c r="M106" s="98">
        <f>M105+(M107-M97)/10</f>
        <v>0.9</v>
      </c>
      <c r="N106" s="61">
        <f>N105-(N97-N107)/10</f>
        <v>0.1</v>
      </c>
      <c r="O106" s="61">
        <f>(1 - POWER(0.1,K97)) * (K96-K95) + K95</f>
        <v>0.99</v>
      </c>
      <c r="P106" s="61">
        <f>(1 - POWER(0.9,K97)) * (K96-K95) + K95</f>
        <v>0.19</v>
      </c>
      <c r="Q106" s="61">
        <f>POWER(0.9,K97) * (K96-K95)+K95</f>
        <v>0.81</v>
      </c>
      <c r="R106" s="61">
        <f>POWER(0.1,K97) * (K96-K95)+K95</f>
        <v>0.01</v>
      </c>
      <c r="S106" s="61">
        <f>(1 / (1 + EXP(-K97*(0.4)))) * (K96-K95) + K95</f>
        <v>0.6899744811</v>
      </c>
      <c r="T106" s="61">
        <f>(1 / (1 + EXP(-K97*(-0.4)))) * (K96-K95) + K95</f>
        <v>0.3100255189</v>
      </c>
      <c r="U106" s="61">
        <f>(1 / (1 + EXP(-K97*(-0.1))) + 0.5) * (K96-K95) + K95</f>
        <v>0.9501660027</v>
      </c>
      <c r="V106" s="99">
        <f>(1 / (1 + EXP(-K97*(0.1))) - 0.5) * (K96-K95) + K95</f>
        <v>0.04983399731</v>
      </c>
      <c r="W106" s="100"/>
      <c r="X106" s="100"/>
      <c r="Y106" s="101"/>
      <c r="Z106" s="102"/>
    </row>
    <row r="107" ht="14.25" customHeight="1">
      <c r="H107" s="103">
        <f>H106+(I96-I95)/10</f>
        <v>7.4</v>
      </c>
      <c r="I107" s="61">
        <f>OFFSET(L105,0,I94,1,1)</f>
        <v>0.8</v>
      </c>
      <c r="M107" s="104">
        <f>K96</f>
        <v>1</v>
      </c>
      <c r="N107" s="105">
        <f>K95</f>
        <v>0</v>
      </c>
      <c r="O107" s="105">
        <f>K96</f>
        <v>1</v>
      </c>
      <c r="P107" s="105">
        <f>K95</f>
        <v>0</v>
      </c>
      <c r="Q107" s="105">
        <f>K96</f>
        <v>1</v>
      </c>
      <c r="R107" s="105">
        <f>K95</f>
        <v>0</v>
      </c>
      <c r="S107" s="105">
        <f>K96</f>
        <v>1</v>
      </c>
      <c r="T107" s="105">
        <f>K95</f>
        <v>0</v>
      </c>
      <c r="U107" s="105">
        <f>K96</f>
        <v>1</v>
      </c>
      <c r="V107" s="106">
        <f>K95</f>
        <v>0</v>
      </c>
      <c r="W107" s="107"/>
      <c r="X107" s="107"/>
      <c r="Y107" s="108"/>
      <c r="Z107" s="109"/>
    </row>
    <row r="108" ht="14.25" customHeight="1">
      <c r="H108" s="103">
        <f>H107+(I96-I95)/10</f>
        <v>7.7</v>
      </c>
      <c r="I108" s="61">
        <f>OFFSET(L106,0,I94,1,1)</f>
        <v>0.9</v>
      </c>
    </row>
    <row r="109" ht="14.25" customHeight="1">
      <c r="H109" s="103">
        <f>I96</f>
        <v>8</v>
      </c>
      <c r="I109" s="61">
        <f>OFFSET(L107,0,I94,1,1)</f>
        <v>1</v>
      </c>
    </row>
    <row r="110" ht="14.25" customHeight="1">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ht="14.25" customHeight="1"/>
    <row r="112" ht="14.25" customHeight="1">
      <c r="H112" s="72" t="s">
        <v>50</v>
      </c>
      <c r="I112" s="73">
        <v>1.0</v>
      </c>
      <c r="J112" s="73"/>
      <c r="K112" s="74"/>
      <c r="M112" s="75" t="s">
        <v>51</v>
      </c>
      <c r="N112" s="54"/>
      <c r="O112" s="54"/>
      <c r="P112" s="54"/>
      <c r="Q112" s="54"/>
      <c r="R112" s="54"/>
      <c r="S112" s="54"/>
      <c r="T112" s="54"/>
      <c r="U112" s="54"/>
      <c r="V112" s="55"/>
      <c r="W112" s="76" t="s">
        <v>52</v>
      </c>
      <c r="X112" s="77"/>
      <c r="Y112" s="76" t="s">
        <v>53</v>
      </c>
      <c r="Z112" s="77"/>
    </row>
    <row r="113" ht="14.25" customHeight="1">
      <c r="H113" s="78" t="s">
        <v>54</v>
      </c>
      <c r="I113" s="79">
        <f>'Raw Data'!G9</f>
        <v>2</v>
      </c>
      <c r="J113" s="80" t="s">
        <v>55</v>
      </c>
      <c r="K113" s="81">
        <v>0.0</v>
      </c>
      <c r="M113" s="58" t="s">
        <v>56</v>
      </c>
      <c r="N113" s="27"/>
      <c r="O113" s="58" t="s">
        <v>57</v>
      </c>
      <c r="P113" s="27"/>
      <c r="Q113" s="58" t="s">
        <v>58</v>
      </c>
      <c r="R113" s="27"/>
      <c r="S113" s="58" t="s">
        <v>59</v>
      </c>
      <c r="T113" s="27"/>
      <c r="U113" s="58" t="s">
        <v>60</v>
      </c>
      <c r="V113" s="27"/>
      <c r="W113" s="82"/>
      <c r="X113" s="83"/>
      <c r="Y113" s="82"/>
      <c r="Z113" s="83"/>
    </row>
    <row r="114" ht="14.25" customHeight="1">
      <c r="H114" s="78" t="s">
        <v>61</v>
      </c>
      <c r="I114" s="79">
        <f>'Raw Data'!G10</f>
        <v>8</v>
      </c>
      <c r="J114" s="80" t="s">
        <v>62</v>
      </c>
      <c r="K114" s="81">
        <v>1.0</v>
      </c>
      <c r="M114" s="84" t="s">
        <v>63</v>
      </c>
      <c r="N114" s="85" t="s">
        <v>64</v>
      </c>
      <c r="O114" s="84" t="s">
        <v>63</v>
      </c>
      <c r="P114" s="85" t="s">
        <v>64</v>
      </c>
      <c r="Q114" s="84" t="s">
        <v>63</v>
      </c>
      <c r="R114" s="85" t="s">
        <v>64</v>
      </c>
      <c r="S114" s="84" t="s">
        <v>63</v>
      </c>
      <c r="T114" s="85" t="s">
        <v>64</v>
      </c>
      <c r="U114" s="84" t="s">
        <v>63</v>
      </c>
      <c r="V114" s="85" t="s">
        <v>64</v>
      </c>
      <c r="W114" s="86" t="s">
        <v>65</v>
      </c>
      <c r="X114" s="86" t="s">
        <v>66</v>
      </c>
      <c r="Y114" s="86" t="s">
        <v>67</v>
      </c>
      <c r="Z114" s="87" t="s">
        <v>68</v>
      </c>
    </row>
    <row r="115" ht="14.25" customHeight="1">
      <c r="H115" s="88"/>
      <c r="I115" s="89"/>
      <c r="J115" s="90" t="s">
        <v>69</v>
      </c>
      <c r="K115" s="91">
        <v>2.0</v>
      </c>
      <c r="M115" s="92">
        <f>K113</f>
        <v>0</v>
      </c>
      <c r="N115" s="93">
        <f>K114</f>
        <v>1</v>
      </c>
      <c r="O115" s="93">
        <f>K113</f>
        <v>0</v>
      </c>
      <c r="P115" s="93">
        <f>K114</f>
        <v>1</v>
      </c>
      <c r="Q115" s="93">
        <f>K113</f>
        <v>0</v>
      </c>
      <c r="R115" s="93">
        <f>K114</f>
        <v>1</v>
      </c>
      <c r="S115" s="93">
        <f>K113</f>
        <v>0</v>
      </c>
      <c r="T115" s="93">
        <f>K114</f>
        <v>1</v>
      </c>
      <c r="U115" s="93">
        <f>K113</f>
        <v>0</v>
      </c>
      <c r="V115" s="94">
        <f>K114</f>
        <v>1</v>
      </c>
      <c r="W115" s="95"/>
      <c r="X115" s="95"/>
      <c r="Y115" s="96"/>
      <c r="Z115" s="97"/>
    </row>
    <row r="116" ht="14.25" customHeight="1">
      <c r="H116" s="63" t="s">
        <v>70</v>
      </c>
      <c r="I116" s="63" t="s">
        <v>68</v>
      </c>
      <c r="M116" s="98">
        <f>M115+(M125-M115)/10</f>
        <v>0.1</v>
      </c>
      <c r="N116" s="61">
        <f>N115-(N115-N125)/10</f>
        <v>0.9</v>
      </c>
      <c r="O116" s="61">
        <f>(1 - POWER(0.9,K115)) * (K114-K113) + K113</f>
        <v>0.19</v>
      </c>
      <c r="P116" s="61">
        <f>(1 - POWER(0.1,K115)) * (K114-K113) + K113</f>
        <v>0.99</v>
      </c>
      <c r="Q116" s="61">
        <f>POWER(0.1,K115) * (K114-K113)+K113</f>
        <v>0.01</v>
      </c>
      <c r="R116" s="61">
        <f>POWER(0.9,K115) * (K114-K113)+K113</f>
        <v>0.81</v>
      </c>
      <c r="S116" s="61">
        <f>(1 / (1 + EXP(-K115*(-0.4)))) * (K114-K113) + K113</f>
        <v>0.3100255189</v>
      </c>
      <c r="T116" s="61">
        <f>(1 / (1 + EXP(-K115*(0.4)))) * (K114-K113) + K113</f>
        <v>0.6899744811</v>
      </c>
      <c r="U116" s="61">
        <f>(1 / (1 + EXP(-K115*(0.1))) - 0.5) * (K114-K113) + K113</f>
        <v>0.04983399731</v>
      </c>
      <c r="V116" s="99">
        <f>(1 / (1 + EXP(-K115*(-0.1))) + 0.5) * (K114-K113) + K113</f>
        <v>0.9501660027</v>
      </c>
      <c r="W116" s="100"/>
      <c r="X116" s="100"/>
      <c r="Y116" s="101"/>
      <c r="Z116" s="102"/>
    </row>
    <row r="117" ht="14.25" customHeight="1">
      <c r="H117" s="103">
        <f>I113</f>
        <v>2</v>
      </c>
      <c r="I117" s="61">
        <f>OFFSET(L115,0,I112,1,1)</f>
        <v>0</v>
      </c>
      <c r="M117" s="98">
        <f>M116+(M125-M115)/10</f>
        <v>0.2</v>
      </c>
      <c r="N117" s="61">
        <f>N116-(N115-N125)/10</f>
        <v>0.8</v>
      </c>
      <c r="O117" s="61">
        <f>(1 - POWER(0.8,K115)) * (K114-K113) + K113</f>
        <v>0.36</v>
      </c>
      <c r="P117" s="61">
        <f>(1 - POWER(0.2,K115)) * (K114-K113) + K113</f>
        <v>0.96</v>
      </c>
      <c r="Q117" s="61">
        <f>POWER(0.2,K115) * (K114-K113)+K113</f>
        <v>0.04</v>
      </c>
      <c r="R117" s="61">
        <f>POWER(0.8,K115) * (K114-K113)+K113</f>
        <v>0.64</v>
      </c>
      <c r="S117" s="61">
        <f>(1 / (1 + EXP(-K115*(-0.3)))) * (K114-K113) + K113</f>
        <v>0.3543436938</v>
      </c>
      <c r="T117" s="61">
        <f>(1 / (1 + EXP(-K115*(0.3)))) * (K114-K113) + K113</f>
        <v>0.6456563062</v>
      </c>
      <c r="U117" s="61">
        <f>(1 / (1 + EXP(-K115*(0.2))) - 0.5) *  (K114-K113) + K113</f>
        <v>0.09868766011</v>
      </c>
      <c r="V117" s="99">
        <f>(1 / (1 + EXP(-K115*(-0.2))) + 0.5) * (K114-K113) + K113</f>
        <v>0.9013123399</v>
      </c>
      <c r="W117" s="100"/>
      <c r="X117" s="100"/>
      <c r="Y117" s="101"/>
      <c r="Z117" s="102"/>
    </row>
    <row r="118" ht="14.25" customHeight="1">
      <c r="H118" s="103">
        <f>H117+(I114-I113)/10</f>
        <v>2.6</v>
      </c>
      <c r="I118" s="61">
        <f>OFFSET(L116,0,I112,1,1)</f>
        <v>0.1</v>
      </c>
      <c r="M118" s="98">
        <f>M117+(M125-M115)/10</f>
        <v>0.3</v>
      </c>
      <c r="N118" s="61">
        <f>N117-(N115-N125)/10</f>
        <v>0.7</v>
      </c>
      <c r="O118" s="61">
        <f>(1 - POWER(0.7,K115)) * (K114-K113) + K113</f>
        <v>0.51</v>
      </c>
      <c r="P118" s="61">
        <f>(1 - POWER(0.3,K115)) * (K114-K113) + K113</f>
        <v>0.91</v>
      </c>
      <c r="Q118" s="61">
        <f>POWER(0.3,K115) * (K114-K113)+K113</f>
        <v>0.09</v>
      </c>
      <c r="R118" s="61">
        <f>POWER(0.7,K115) * (K114-K113)+K113</f>
        <v>0.49</v>
      </c>
      <c r="S118" s="61">
        <f>(1 / (1 + EXP(-K115*(-0.2)))) * (K114-K113) + K113</f>
        <v>0.4013123399</v>
      </c>
      <c r="T118" s="61">
        <f>(1 / (1 + EXP(-K115*(0.2)))) * (K114-K113) + K113</f>
        <v>0.5986876601</v>
      </c>
      <c r="U118" s="61">
        <f>(1 / (1 + EXP(-K115*(0.3))) - 0.5) * (K114-K113) + K113</f>
        <v>0.1456563062</v>
      </c>
      <c r="V118" s="99">
        <f>(1 / (1 + EXP(-K115*(-0.3))) + 0.5) * (K114-K113) + K113</f>
        <v>0.8543436938</v>
      </c>
      <c r="W118" s="100"/>
      <c r="X118" s="100"/>
      <c r="Y118" s="101"/>
      <c r="Z118" s="102"/>
    </row>
    <row r="119" ht="14.25" customHeight="1">
      <c r="H119" s="103">
        <f>H118+(I114-I113)/10</f>
        <v>3.2</v>
      </c>
      <c r="I119" s="61">
        <f>OFFSET(L117,0,I112,1,1)</f>
        <v>0.2</v>
      </c>
      <c r="M119" s="98">
        <f>M118+(M125-M115)/10</f>
        <v>0.4</v>
      </c>
      <c r="N119" s="61">
        <f>N118-(N115-N125)/10</f>
        <v>0.6</v>
      </c>
      <c r="O119" s="61">
        <f>(1 - POWER(0.6,K115)) * (K114-K113) + K113</f>
        <v>0.64</v>
      </c>
      <c r="P119" s="61">
        <f>(1 - POWER(0.4,K115)) * (K114-K113) + K113</f>
        <v>0.84</v>
      </c>
      <c r="Q119" s="61">
        <f>POWER(0.4,K115) * (K114-K113)+K113</f>
        <v>0.16</v>
      </c>
      <c r="R119" s="61">
        <f>POWER(0.6,K115) * (K114-K113)+K113</f>
        <v>0.36</v>
      </c>
      <c r="S119" s="61">
        <f>(1 / (1 + EXP(-K115*(-0.1)))) * (K114-K113) + K113</f>
        <v>0.4501660027</v>
      </c>
      <c r="T119" s="61">
        <f>(1 / (1 + EXP(-K115*(0.1)))) * (K114-K113) + K113</f>
        <v>0.5498339973</v>
      </c>
      <c r="U119" s="61">
        <f>(1 / (1 + EXP(-K115*(0.4))) - 0.5) * (K114-K113) + K113</f>
        <v>0.1899744811</v>
      </c>
      <c r="V119" s="99">
        <f>(1 / (1 + EXP(-K115*(-0.4))) + 0.5) * (K114-K113) + K113</f>
        <v>0.8100255189</v>
      </c>
      <c r="W119" s="100"/>
      <c r="X119" s="100"/>
      <c r="Y119" s="101"/>
      <c r="Z119" s="102"/>
    </row>
    <row r="120" ht="14.25" customHeight="1">
      <c r="H120" s="103">
        <f>H119+(I114-I113)/10</f>
        <v>3.8</v>
      </c>
      <c r="I120" s="61">
        <f>OFFSET(L118,0,I112,1,1)</f>
        <v>0.3</v>
      </c>
      <c r="M120" s="98">
        <f>M119+(M125-M115)/10</f>
        <v>0.5</v>
      </c>
      <c r="N120" s="61">
        <f>N119-(N115-N125)/10</f>
        <v>0.5</v>
      </c>
      <c r="O120" s="61">
        <f>(1 - POWER(0.5,K115)) * (K114-K113) + K113</f>
        <v>0.75</v>
      </c>
      <c r="P120" s="61">
        <f>(1 - POWER(0.5,K115)) * (K114-K113) + K113</f>
        <v>0.75</v>
      </c>
      <c r="Q120" s="61">
        <f>POWER(0.5,K115) * (K114-K113)+K113</f>
        <v>0.25</v>
      </c>
      <c r="R120" s="61">
        <f>POWER(0.5,K115) * (K114-K113)+K113</f>
        <v>0.25</v>
      </c>
      <c r="S120" s="61">
        <f>(1 / (1 + EXP(-K115*(0)))) * (K114-K113) + K113</f>
        <v>0.5</v>
      </c>
      <c r="T120" s="61">
        <f>(1 / (1 + EXP(-K115*(0)))) * (K114-K113) + K113</f>
        <v>0.5</v>
      </c>
      <c r="U120" s="61">
        <f>(1 / (1 + EXP(-K115*(0.5))) - 0.5) * (K114-K113) + K113</f>
        <v>0.2310585786</v>
      </c>
      <c r="V120" s="99">
        <f>(1 / (1 + EXP(-K115*(0.5))) - 0.5) * (K114-K113) + K113</f>
        <v>0.2310585786</v>
      </c>
      <c r="W120" s="100"/>
      <c r="X120" s="100"/>
      <c r="Y120" s="101"/>
      <c r="Z120" s="102"/>
    </row>
    <row r="121" ht="14.25" customHeight="1">
      <c r="H121" s="103">
        <f>H120+(I114-I113)/10</f>
        <v>4.4</v>
      </c>
      <c r="I121" s="61">
        <f>OFFSET(L119,0,I112,1,1)</f>
        <v>0.4</v>
      </c>
      <c r="M121" s="98">
        <f>M120+(M125-M115)/10</f>
        <v>0.6</v>
      </c>
      <c r="N121" s="61">
        <f>N120-(N115-N125)/10</f>
        <v>0.4</v>
      </c>
      <c r="O121" s="61">
        <f>(1 - POWER(0.4,K115)) * (K114-K113) + K113</f>
        <v>0.84</v>
      </c>
      <c r="P121" s="61">
        <f>(1 - POWER(0.6,K115)) * (K114-K113) + K113</f>
        <v>0.64</v>
      </c>
      <c r="Q121" s="61">
        <f>POWER(0.6,K115) * (K114-K113)+K113</f>
        <v>0.36</v>
      </c>
      <c r="R121" s="61">
        <f>POWER(0.4,K115) * (K114-K113)+K113</f>
        <v>0.16</v>
      </c>
      <c r="S121" s="61">
        <f>(1 / (1 + EXP(-K115*(0.1)))) * (K114-K113) + K113</f>
        <v>0.5498339973</v>
      </c>
      <c r="T121" s="61">
        <f>(1 / (1 + EXP(-K115*(-0.1)))) * (K114-K113) + K113</f>
        <v>0.4501660027</v>
      </c>
      <c r="U121" s="61">
        <f>(1 / (1 + EXP(-K115*(-0.4))) + 0.5) * (K114-K113) + K113</f>
        <v>0.8100255189</v>
      </c>
      <c r="V121" s="99">
        <f>(1 / (1 + EXP(-K115*(0.4))) - 0.5) * (K114-K113) + K113</f>
        <v>0.1899744811</v>
      </c>
      <c r="W121" s="100"/>
      <c r="X121" s="100"/>
      <c r="Y121" s="101"/>
      <c r="Z121" s="102"/>
    </row>
    <row r="122" ht="14.25" customHeight="1">
      <c r="H122" s="103">
        <f>H121+(I114-I113)/10</f>
        <v>5</v>
      </c>
      <c r="I122" s="61">
        <f>OFFSET(L120,0,I112,1,1)</f>
        <v>0.5</v>
      </c>
      <c r="M122" s="98">
        <f>M121+(M125-M115)/10</f>
        <v>0.7</v>
      </c>
      <c r="N122" s="61">
        <f>N121-(N115-N125)/10</f>
        <v>0.3</v>
      </c>
      <c r="O122" s="61">
        <f>(1 - POWER(0.3,K115)) * (K114-K113) + K113</f>
        <v>0.91</v>
      </c>
      <c r="P122" s="61">
        <f>(1 - POWER(0.7,K115)) * (K114-K113) + K113</f>
        <v>0.51</v>
      </c>
      <c r="Q122" s="61">
        <f>POWER(0.7,K115) * (K114-K113)+K113</f>
        <v>0.49</v>
      </c>
      <c r="R122" s="61">
        <f>POWER(0.3,K115) * (K114-K113)+K113</f>
        <v>0.09</v>
      </c>
      <c r="S122" s="61">
        <f>(1 / (1 + EXP(-K115*(0.2)))) * (K114-K113) + K113</f>
        <v>0.5986876601</v>
      </c>
      <c r="T122" s="61">
        <f>(1 / (1 + EXP(-K115*(-0.2)))) * (K114-K113) + K113</f>
        <v>0.4013123399</v>
      </c>
      <c r="U122" s="61">
        <f>(1 / (1 + EXP(-K115*(-0.3))) + 0.5) * (K114-K113) + K113</f>
        <v>0.8543436938</v>
      </c>
      <c r="V122" s="99">
        <f>(1 / (1 + EXP(-K115*(0.3))) - 0.5) * (K114-K113) + K113</f>
        <v>0.1456563062</v>
      </c>
      <c r="W122" s="100"/>
      <c r="X122" s="100"/>
      <c r="Y122" s="101"/>
      <c r="Z122" s="102"/>
    </row>
    <row r="123" ht="14.25" customHeight="1">
      <c r="H123" s="103">
        <f>H122+(I114-I113)/10</f>
        <v>5.6</v>
      </c>
      <c r="I123" s="61">
        <f>OFFSET(L121,0,I112,1,1)</f>
        <v>0.6</v>
      </c>
      <c r="M123" s="98">
        <f>M122+(M125-M115)/10</f>
        <v>0.8</v>
      </c>
      <c r="N123" s="61">
        <f>N122-(N115-N125)/10</f>
        <v>0.2</v>
      </c>
      <c r="O123" s="61">
        <f>(1 - POWER(0.2,K115)) * (K114-K113) + K113</f>
        <v>0.96</v>
      </c>
      <c r="P123" s="61">
        <f>(1 - POWER(0.8,K115)) * (K114-K113) + K113</f>
        <v>0.36</v>
      </c>
      <c r="Q123" s="61">
        <f>POWER(0.8,K115) * (K114-K113)+K113</f>
        <v>0.64</v>
      </c>
      <c r="R123" s="61">
        <f>POWER(0.2,K115) * (K114-K113)+K113</f>
        <v>0.04</v>
      </c>
      <c r="S123" s="61">
        <f>(1 / (1 + EXP(-K115*(0.3)))) * (K114-K113) + K113</f>
        <v>0.6456563062</v>
      </c>
      <c r="T123" s="61">
        <f>(1 / (1 + EXP(-K115*(-0.3)))) * (K114-K113) + K113</f>
        <v>0.3543436938</v>
      </c>
      <c r="U123" s="61">
        <f>(1 / (1 + EXP(-K115*(-0.2))) + 0.5) * (K114-K113) + K113</f>
        <v>0.9013123399</v>
      </c>
      <c r="V123" s="99">
        <f>(1 / (1 + EXP(-K115*(0.2))) - 0.5) *  (K114-K113) + K113</f>
        <v>0.09868766011</v>
      </c>
      <c r="W123" s="100"/>
      <c r="X123" s="100"/>
      <c r="Y123" s="101"/>
      <c r="Z123" s="102"/>
    </row>
    <row r="124" ht="14.25" customHeight="1">
      <c r="H124" s="103">
        <f>H123+(I114-I113)/10</f>
        <v>6.2</v>
      </c>
      <c r="I124" s="61">
        <f>OFFSET(L122,0,I112,1,1)</f>
        <v>0.7</v>
      </c>
      <c r="M124" s="98">
        <f>M123+(M125-M115)/10</f>
        <v>0.9</v>
      </c>
      <c r="N124" s="61">
        <f>N123-(N115-N125)/10</f>
        <v>0.1</v>
      </c>
      <c r="O124" s="61">
        <f>(1 - POWER(0.1,K115)) * (K114-K113) + K113</f>
        <v>0.99</v>
      </c>
      <c r="P124" s="61">
        <f>(1 - POWER(0.9,K115)) * (K114-K113) + K113</f>
        <v>0.19</v>
      </c>
      <c r="Q124" s="61">
        <f>POWER(0.9,K115) * (K114-K113)+K113</f>
        <v>0.81</v>
      </c>
      <c r="R124" s="61">
        <f>POWER(0.1,K115) * (K114-K113)+K113</f>
        <v>0.01</v>
      </c>
      <c r="S124" s="61">
        <f>(1 / (1 + EXP(-K115*(0.4)))) * (K114-K113) + K113</f>
        <v>0.6899744811</v>
      </c>
      <c r="T124" s="61">
        <f>(1 / (1 + EXP(-K115*(-0.4)))) * (K114-K113) + K113</f>
        <v>0.3100255189</v>
      </c>
      <c r="U124" s="61">
        <f>(1 / (1 + EXP(-K115*(-0.1))) + 0.5) * (K114-K113) + K113</f>
        <v>0.9501660027</v>
      </c>
      <c r="V124" s="99">
        <f>(1 / (1 + EXP(-K115*(0.1))) - 0.5) * (K114-K113) + K113</f>
        <v>0.04983399731</v>
      </c>
      <c r="W124" s="100"/>
      <c r="X124" s="100"/>
      <c r="Y124" s="101"/>
      <c r="Z124" s="102"/>
    </row>
    <row r="125" ht="14.25" customHeight="1">
      <c r="H125" s="103">
        <f>H124+(I114-I113)/10</f>
        <v>6.8</v>
      </c>
      <c r="I125" s="61">
        <f>OFFSET(L123,0,I112,1,1)</f>
        <v>0.8</v>
      </c>
      <c r="M125" s="104">
        <f>K114</f>
        <v>1</v>
      </c>
      <c r="N125" s="105">
        <f>K113</f>
        <v>0</v>
      </c>
      <c r="O125" s="105">
        <f>K114</f>
        <v>1</v>
      </c>
      <c r="P125" s="105">
        <f>K113</f>
        <v>0</v>
      </c>
      <c r="Q125" s="105">
        <f>K114</f>
        <v>1</v>
      </c>
      <c r="R125" s="105">
        <f>K113</f>
        <v>0</v>
      </c>
      <c r="S125" s="105">
        <f>K114</f>
        <v>1</v>
      </c>
      <c r="T125" s="105">
        <f>K113</f>
        <v>0</v>
      </c>
      <c r="U125" s="105">
        <f>K114</f>
        <v>1</v>
      </c>
      <c r="V125" s="106">
        <f>K113</f>
        <v>0</v>
      </c>
      <c r="W125" s="107"/>
      <c r="X125" s="107"/>
      <c r="Y125" s="108"/>
      <c r="Z125" s="109"/>
    </row>
    <row r="126" ht="14.25" customHeight="1">
      <c r="H126" s="103">
        <f>H125+(I114-I113)/10</f>
        <v>7.4</v>
      </c>
      <c r="I126" s="61">
        <f>OFFSET(L124,0,I112,1,1)</f>
        <v>0.9</v>
      </c>
    </row>
    <row r="127" ht="14.25" customHeight="1">
      <c r="H127" s="103">
        <f>I114</f>
        <v>8</v>
      </c>
      <c r="I127" s="61">
        <f>OFFSET(L125,0,I112,1,1)</f>
        <v>1</v>
      </c>
    </row>
    <row r="128" ht="14.25" customHeight="1">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ht="14.25" customHeight="1"/>
    <row r="130" ht="14.25" customHeight="1">
      <c r="H130" s="72" t="s">
        <v>50</v>
      </c>
      <c r="I130" s="73">
        <v>1.0</v>
      </c>
      <c r="J130" s="73"/>
      <c r="K130" s="74"/>
      <c r="M130" s="75" t="s">
        <v>51</v>
      </c>
      <c r="N130" s="54"/>
      <c r="O130" s="54"/>
      <c r="P130" s="54"/>
      <c r="Q130" s="54"/>
      <c r="R130" s="54"/>
      <c r="S130" s="54"/>
      <c r="T130" s="54"/>
      <c r="U130" s="54"/>
      <c r="V130" s="55"/>
      <c r="W130" s="76" t="s">
        <v>52</v>
      </c>
      <c r="X130" s="77"/>
      <c r="Y130" s="76" t="s">
        <v>53</v>
      </c>
      <c r="Z130" s="77"/>
    </row>
    <row r="131" ht="14.25" customHeight="1">
      <c r="H131" s="78" t="s">
        <v>54</v>
      </c>
      <c r="I131" s="79">
        <f>'Raw Data'!H9</f>
        <v>1</v>
      </c>
      <c r="J131" s="80" t="s">
        <v>55</v>
      </c>
      <c r="K131" s="81">
        <v>0.0</v>
      </c>
      <c r="M131" s="58" t="s">
        <v>56</v>
      </c>
      <c r="N131" s="27"/>
      <c r="O131" s="58" t="s">
        <v>57</v>
      </c>
      <c r="P131" s="27"/>
      <c r="Q131" s="58" t="s">
        <v>58</v>
      </c>
      <c r="R131" s="27"/>
      <c r="S131" s="58" t="s">
        <v>59</v>
      </c>
      <c r="T131" s="27"/>
      <c r="U131" s="58" t="s">
        <v>60</v>
      </c>
      <c r="V131" s="27"/>
      <c r="W131" s="82"/>
      <c r="X131" s="83"/>
      <c r="Y131" s="82"/>
      <c r="Z131" s="83"/>
    </row>
    <row r="132" ht="14.25" customHeight="1">
      <c r="H132" s="78" t="s">
        <v>61</v>
      </c>
      <c r="I132" s="79">
        <f>'Raw Data'!H10</f>
        <v>8</v>
      </c>
      <c r="J132" s="80" t="s">
        <v>62</v>
      </c>
      <c r="K132" s="81">
        <v>1.0</v>
      </c>
      <c r="M132" s="84" t="s">
        <v>63</v>
      </c>
      <c r="N132" s="85" t="s">
        <v>64</v>
      </c>
      <c r="O132" s="84" t="s">
        <v>63</v>
      </c>
      <c r="P132" s="85" t="s">
        <v>64</v>
      </c>
      <c r="Q132" s="84" t="s">
        <v>63</v>
      </c>
      <c r="R132" s="85" t="s">
        <v>64</v>
      </c>
      <c r="S132" s="84" t="s">
        <v>63</v>
      </c>
      <c r="T132" s="85" t="s">
        <v>64</v>
      </c>
      <c r="U132" s="84" t="s">
        <v>63</v>
      </c>
      <c r="V132" s="85" t="s">
        <v>64</v>
      </c>
      <c r="W132" s="86" t="s">
        <v>65</v>
      </c>
      <c r="X132" s="86" t="s">
        <v>66</v>
      </c>
      <c r="Y132" s="86" t="s">
        <v>67</v>
      </c>
      <c r="Z132" s="87" t="s">
        <v>68</v>
      </c>
    </row>
    <row r="133" ht="14.25" customHeight="1">
      <c r="H133" s="88"/>
      <c r="I133" s="89"/>
      <c r="J133" s="90" t="s">
        <v>69</v>
      </c>
      <c r="K133" s="91">
        <v>2.0</v>
      </c>
      <c r="M133" s="92">
        <f>K131</f>
        <v>0</v>
      </c>
      <c r="N133" s="93">
        <f>K132</f>
        <v>1</v>
      </c>
      <c r="O133" s="93">
        <f>K131</f>
        <v>0</v>
      </c>
      <c r="P133" s="93">
        <f>K132</f>
        <v>1</v>
      </c>
      <c r="Q133" s="93">
        <f>K131</f>
        <v>0</v>
      </c>
      <c r="R133" s="93">
        <f>K132</f>
        <v>1</v>
      </c>
      <c r="S133" s="93">
        <f>K131</f>
        <v>0</v>
      </c>
      <c r="T133" s="93">
        <f>K132</f>
        <v>1</v>
      </c>
      <c r="U133" s="93">
        <f>K131</f>
        <v>0</v>
      </c>
      <c r="V133" s="94">
        <f>K132</f>
        <v>1</v>
      </c>
      <c r="W133" s="95"/>
      <c r="X133" s="95"/>
      <c r="Y133" s="96"/>
      <c r="Z133" s="97"/>
    </row>
    <row r="134" ht="14.25" customHeight="1">
      <c r="H134" s="63" t="s">
        <v>70</v>
      </c>
      <c r="I134" s="63" t="s">
        <v>68</v>
      </c>
      <c r="M134" s="98">
        <f>M133+(M143-M133)/10</f>
        <v>0.1</v>
      </c>
      <c r="N134" s="61">
        <f>N133-(N133-N143)/10</f>
        <v>0.9</v>
      </c>
      <c r="O134" s="61">
        <f>(1 - POWER(0.9,K133)) * (K132-K131) + K131</f>
        <v>0.19</v>
      </c>
      <c r="P134" s="61">
        <f>(1 - POWER(0.1,K133)) * (K132-K131) + K131</f>
        <v>0.99</v>
      </c>
      <c r="Q134" s="61">
        <f>POWER(0.1,K133) * (K132-K131)+K131</f>
        <v>0.01</v>
      </c>
      <c r="R134" s="61">
        <f>POWER(0.9,K133) * (K132-K131)+K131</f>
        <v>0.81</v>
      </c>
      <c r="S134" s="61">
        <f>(1 / (1 + EXP(-K133*(-0.4)))) * (K132-K131) + K131</f>
        <v>0.3100255189</v>
      </c>
      <c r="T134" s="61">
        <f>(1 / (1 + EXP(-K133*(0.4)))) * (K132-K131) + K131</f>
        <v>0.6899744811</v>
      </c>
      <c r="U134" s="61">
        <f>(1 / (1 + EXP(-K133*(0.1))) - 0.5) * (K132-K131) + K131</f>
        <v>0.04983399731</v>
      </c>
      <c r="V134" s="99">
        <f>(1 / (1 + EXP(-K133*(-0.1))) + 0.5) * (K132-K131) + K131</f>
        <v>0.9501660027</v>
      </c>
      <c r="W134" s="100"/>
      <c r="X134" s="100"/>
      <c r="Y134" s="101"/>
      <c r="Z134" s="102"/>
    </row>
    <row r="135" ht="14.25" customHeight="1">
      <c r="H135" s="103">
        <f>I131</f>
        <v>1</v>
      </c>
      <c r="I135" s="61">
        <f>OFFSET(L133,0,I130,1,1)</f>
        <v>0</v>
      </c>
      <c r="M135" s="98">
        <f>M134+(M143-M133)/10</f>
        <v>0.2</v>
      </c>
      <c r="N135" s="61">
        <f>N134-(N133-N143)/10</f>
        <v>0.8</v>
      </c>
      <c r="O135" s="61">
        <f>(1 - POWER(0.8,K133)) * (K132-K131) + K131</f>
        <v>0.36</v>
      </c>
      <c r="P135" s="61">
        <f>(1 - POWER(0.2,K133)) * (K132-K131) + K131</f>
        <v>0.96</v>
      </c>
      <c r="Q135" s="61">
        <f>POWER(0.2,K133) * (K132-K131)+K131</f>
        <v>0.04</v>
      </c>
      <c r="R135" s="61">
        <f>POWER(0.8,K133) * (K132-K131)+K131</f>
        <v>0.64</v>
      </c>
      <c r="S135" s="61">
        <f>(1 / (1 + EXP(-K133*(-0.3)))) * (K132-K131) + K131</f>
        <v>0.3543436938</v>
      </c>
      <c r="T135" s="61">
        <f>(1 / (1 + EXP(-K133*(0.3)))) * (K132-K131) + K131</f>
        <v>0.6456563062</v>
      </c>
      <c r="U135" s="61">
        <f>(1 / (1 + EXP(-K133*(0.2))) - 0.5) *  (K132-K131) + K131</f>
        <v>0.09868766011</v>
      </c>
      <c r="V135" s="99">
        <f>(1 / (1 + EXP(-K133*(-0.2))) + 0.5) * (K132-K131) + K131</f>
        <v>0.9013123399</v>
      </c>
      <c r="W135" s="100"/>
      <c r="X135" s="100"/>
      <c r="Y135" s="101"/>
      <c r="Z135" s="102"/>
    </row>
    <row r="136" ht="14.25" customHeight="1">
      <c r="H136" s="103">
        <f>H135+(I132-I131)/10</f>
        <v>1.7</v>
      </c>
      <c r="I136" s="61">
        <f>OFFSET(L134,0,I130,1,1)</f>
        <v>0.1</v>
      </c>
      <c r="M136" s="98">
        <f>M135+(M143-M133)/10</f>
        <v>0.3</v>
      </c>
      <c r="N136" s="61">
        <f>N135-(N133-N143)/10</f>
        <v>0.7</v>
      </c>
      <c r="O136" s="61">
        <f>(1 - POWER(0.7,K133)) * (K132-K131) + K131</f>
        <v>0.51</v>
      </c>
      <c r="P136" s="61">
        <f>(1 - POWER(0.3,K133)) * (K132-K131) + K131</f>
        <v>0.91</v>
      </c>
      <c r="Q136" s="61">
        <f>POWER(0.3,K133) * (K132-K131)+K131</f>
        <v>0.09</v>
      </c>
      <c r="R136" s="61">
        <f>POWER(0.7,K133) * (K132-K131)+K131</f>
        <v>0.49</v>
      </c>
      <c r="S136" s="61">
        <f>(1 / (1 + EXP(-K133*(-0.2)))) * (K132-K131) + K131</f>
        <v>0.4013123399</v>
      </c>
      <c r="T136" s="61">
        <f>(1 / (1 + EXP(-K133*(0.2)))) * (K132-K131) + K131</f>
        <v>0.5986876601</v>
      </c>
      <c r="U136" s="61">
        <f>(1 / (1 + EXP(-K133*(0.3))) - 0.5) * (K132-K131) + K131</f>
        <v>0.1456563062</v>
      </c>
      <c r="V136" s="99">
        <f>(1 / (1 + EXP(-K133*(-0.3))) + 0.5) * (K132-K131) + K131</f>
        <v>0.8543436938</v>
      </c>
      <c r="W136" s="100"/>
      <c r="X136" s="100"/>
      <c r="Y136" s="101"/>
      <c r="Z136" s="102"/>
    </row>
    <row r="137" ht="14.25" customHeight="1">
      <c r="H137" s="103">
        <f>H136+(I132-I131)/10</f>
        <v>2.4</v>
      </c>
      <c r="I137" s="61">
        <f>OFFSET(L135,0,I130,1,1)</f>
        <v>0.2</v>
      </c>
      <c r="M137" s="98">
        <f>M136+(M143-M133)/10</f>
        <v>0.4</v>
      </c>
      <c r="N137" s="61">
        <f>N136-(N133-N143)/10</f>
        <v>0.6</v>
      </c>
      <c r="O137" s="61">
        <f>(1 - POWER(0.6,K133)) * (K132-K131) + K131</f>
        <v>0.64</v>
      </c>
      <c r="P137" s="61">
        <f>(1 - POWER(0.4,K133)) * (K132-K131) + K131</f>
        <v>0.84</v>
      </c>
      <c r="Q137" s="61">
        <f>POWER(0.4,K133) * (K132-K131)+K131</f>
        <v>0.16</v>
      </c>
      <c r="R137" s="61">
        <f>POWER(0.6,K133) * (K132-K131)+K131</f>
        <v>0.36</v>
      </c>
      <c r="S137" s="61">
        <f>(1 / (1 + EXP(-K133*(-0.1)))) * (K132-K131) + K131</f>
        <v>0.4501660027</v>
      </c>
      <c r="T137" s="61">
        <f>(1 / (1 + EXP(-K133*(0.1)))) * (K132-K131) + K131</f>
        <v>0.5498339973</v>
      </c>
      <c r="U137" s="61">
        <f>(1 / (1 + EXP(-K133*(0.4))) - 0.5) * (K132-K131) + K131</f>
        <v>0.1899744811</v>
      </c>
      <c r="V137" s="99">
        <f>(1 / (1 + EXP(-K133*(-0.4))) + 0.5) * (K132-K131) + K131</f>
        <v>0.8100255189</v>
      </c>
      <c r="W137" s="100"/>
      <c r="X137" s="100"/>
      <c r="Y137" s="101"/>
      <c r="Z137" s="102"/>
    </row>
    <row r="138" ht="14.25" customHeight="1">
      <c r="H138" s="103">
        <f>H137+(I132-I131)/10</f>
        <v>3.1</v>
      </c>
      <c r="I138" s="61">
        <f>OFFSET(L136,0,I130,1,1)</f>
        <v>0.3</v>
      </c>
      <c r="M138" s="98">
        <f>M137+(M143-M133)/10</f>
        <v>0.5</v>
      </c>
      <c r="N138" s="61">
        <f>N137-(N133-N143)/10</f>
        <v>0.5</v>
      </c>
      <c r="O138" s="61">
        <f>(1 - POWER(0.5,K133)) * (K132-K131) + K131</f>
        <v>0.75</v>
      </c>
      <c r="P138" s="61">
        <f>(1 - POWER(0.5,K133)) * (K132-K131) + K131</f>
        <v>0.75</v>
      </c>
      <c r="Q138" s="61">
        <f>POWER(0.5,K133) * (K132-K131)+K131</f>
        <v>0.25</v>
      </c>
      <c r="R138" s="61">
        <f>POWER(0.5,K133) * (K132-K131)+K131</f>
        <v>0.25</v>
      </c>
      <c r="S138" s="61">
        <f>(1 / (1 + EXP(-K133*(0)))) * (K132-K131) + K131</f>
        <v>0.5</v>
      </c>
      <c r="T138" s="61">
        <f>(1 / (1 + EXP(-K133*(0)))) * (K132-K131) + K131</f>
        <v>0.5</v>
      </c>
      <c r="U138" s="61">
        <f>(1 / (1 + EXP(-K133*(0.5))) - 0.5) * (K132-K131) + K131</f>
        <v>0.2310585786</v>
      </c>
      <c r="V138" s="99">
        <f>(1 / (1 + EXP(-K133*(0.5))) - 0.5) * (K132-K131) + K131</f>
        <v>0.2310585786</v>
      </c>
      <c r="W138" s="100"/>
      <c r="X138" s="100"/>
      <c r="Y138" s="101"/>
      <c r="Z138" s="102"/>
    </row>
    <row r="139" ht="14.25" customHeight="1">
      <c r="H139" s="103">
        <f>H138+(I132-I131)/10</f>
        <v>3.8</v>
      </c>
      <c r="I139" s="61">
        <f>OFFSET(L137,0,I130,1,1)</f>
        <v>0.4</v>
      </c>
      <c r="M139" s="98">
        <f>M138+(M143-M133)/10</f>
        <v>0.6</v>
      </c>
      <c r="N139" s="61">
        <f>N138-(N133-N143)/10</f>
        <v>0.4</v>
      </c>
      <c r="O139" s="61">
        <f>(1 - POWER(0.4,K133)) * (K132-K131) + K131</f>
        <v>0.84</v>
      </c>
      <c r="P139" s="61">
        <f>(1 - POWER(0.6,K133)) * (K132-K131) + K131</f>
        <v>0.64</v>
      </c>
      <c r="Q139" s="61">
        <f>POWER(0.6,K133) * (K132-K131)+K131</f>
        <v>0.36</v>
      </c>
      <c r="R139" s="61">
        <f>POWER(0.4,K133) * (K132-K131)+K131</f>
        <v>0.16</v>
      </c>
      <c r="S139" s="61">
        <f>(1 / (1 + EXP(-K133*(0.1)))) * (K132-K131) + K131</f>
        <v>0.5498339973</v>
      </c>
      <c r="T139" s="61">
        <f>(1 / (1 + EXP(-K133*(-0.1)))) * (K132-K131) + K131</f>
        <v>0.4501660027</v>
      </c>
      <c r="U139" s="61">
        <f>(1 / (1 + EXP(-K133*(-0.4))) + 0.5) * (K132-K131) + K131</f>
        <v>0.8100255189</v>
      </c>
      <c r="V139" s="99">
        <f>(1 / (1 + EXP(-K133*(0.4))) - 0.5) * (K132-K131) + K131</f>
        <v>0.1899744811</v>
      </c>
      <c r="W139" s="100"/>
      <c r="X139" s="100"/>
      <c r="Y139" s="101"/>
      <c r="Z139" s="102"/>
    </row>
    <row r="140" ht="14.25" customHeight="1">
      <c r="H140" s="103">
        <f>H139+(I132-I131)/10</f>
        <v>4.5</v>
      </c>
      <c r="I140" s="61">
        <f>OFFSET(L138,0,I130,1,1)</f>
        <v>0.5</v>
      </c>
      <c r="M140" s="98">
        <f>M139+(M143-M133)/10</f>
        <v>0.7</v>
      </c>
      <c r="N140" s="61">
        <f>N139-(N133-N143)/10</f>
        <v>0.3</v>
      </c>
      <c r="O140" s="61">
        <f>(1 - POWER(0.3,K133)) * (K132-K131) + K131</f>
        <v>0.91</v>
      </c>
      <c r="P140" s="61">
        <f>(1 - POWER(0.7,K133)) * (K132-K131) + K131</f>
        <v>0.51</v>
      </c>
      <c r="Q140" s="61">
        <f>POWER(0.7,K133) * (K132-K131)+K131</f>
        <v>0.49</v>
      </c>
      <c r="R140" s="61">
        <f>POWER(0.3,K133) * (K132-K131)+K131</f>
        <v>0.09</v>
      </c>
      <c r="S140" s="61">
        <f>(1 / (1 + EXP(-K133*(0.2)))) * (K132-K131) + K131</f>
        <v>0.5986876601</v>
      </c>
      <c r="T140" s="61">
        <f>(1 / (1 + EXP(-K133*(-0.2)))) * (K132-K131) + K131</f>
        <v>0.4013123399</v>
      </c>
      <c r="U140" s="61">
        <f>(1 / (1 + EXP(-K133*(-0.3))) + 0.5) * (K132-K131) + K131</f>
        <v>0.8543436938</v>
      </c>
      <c r="V140" s="99">
        <f>(1 / (1 + EXP(-K133*(0.3))) - 0.5) * (K132-K131) + K131</f>
        <v>0.1456563062</v>
      </c>
      <c r="W140" s="100"/>
      <c r="X140" s="100"/>
      <c r="Y140" s="101"/>
      <c r="Z140" s="102"/>
    </row>
    <row r="141" ht="14.25" customHeight="1">
      <c r="H141" s="103">
        <f>H140+(I132-I131)/10</f>
        <v>5.2</v>
      </c>
      <c r="I141" s="61">
        <f>OFFSET(L139,0,I130,1,1)</f>
        <v>0.6</v>
      </c>
      <c r="M141" s="98">
        <f>M140+(M143-M133)/10</f>
        <v>0.8</v>
      </c>
      <c r="N141" s="61">
        <f>N140-(N133-N143)/10</f>
        <v>0.2</v>
      </c>
      <c r="O141" s="61">
        <f>(1 - POWER(0.2,K133)) * (K132-K131) + K131</f>
        <v>0.96</v>
      </c>
      <c r="P141" s="61">
        <f>(1 - POWER(0.8,K133)) * (K132-K131) + K131</f>
        <v>0.36</v>
      </c>
      <c r="Q141" s="61">
        <f>POWER(0.8,K133) * (K132-K131)+K131</f>
        <v>0.64</v>
      </c>
      <c r="R141" s="61">
        <f>POWER(0.2,K133) * (K132-K131)+K131</f>
        <v>0.04</v>
      </c>
      <c r="S141" s="61">
        <f>(1 / (1 + EXP(-K133*(0.3)))) * (K132-K131) + K131</f>
        <v>0.6456563062</v>
      </c>
      <c r="T141" s="61">
        <f>(1 / (1 + EXP(-K133*(-0.3)))) * (K132-K131) + K131</f>
        <v>0.3543436938</v>
      </c>
      <c r="U141" s="61">
        <f>(1 / (1 + EXP(-K133*(-0.2))) + 0.5) * (K132-K131) + K131</f>
        <v>0.9013123399</v>
      </c>
      <c r="V141" s="99">
        <f>(1 / (1 + EXP(-K133*(0.2))) - 0.5) *  (K132-K131) + K131</f>
        <v>0.09868766011</v>
      </c>
      <c r="W141" s="100"/>
      <c r="X141" s="100"/>
      <c r="Y141" s="101"/>
      <c r="Z141" s="102"/>
    </row>
    <row r="142" ht="14.25" customHeight="1">
      <c r="H142" s="103">
        <f>H141+(I132-I131)/10</f>
        <v>5.9</v>
      </c>
      <c r="I142" s="61">
        <f>OFFSET(L140,0,I130,1,1)</f>
        <v>0.7</v>
      </c>
      <c r="M142" s="98">
        <f>M141+(M143-M133)/10</f>
        <v>0.9</v>
      </c>
      <c r="N142" s="61">
        <f>N141-(N133-N143)/10</f>
        <v>0.1</v>
      </c>
      <c r="O142" s="61">
        <f>(1 - POWER(0.1,K133)) * (K132-K131) + K131</f>
        <v>0.99</v>
      </c>
      <c r="P142" s="61">
        <f>(1 - POWER(0.9,K133)) * (K132-K131) + K131</f>
        <v>0.19</v>
      </c>
      <c r="Q142" s="61">
        <f>POWER(0.9,K133) * (K132-K131)+K131</f>
        <v>0.81</v>
      </c>
      <c r="R142" s="61">
        <f>POWER(0.1,K133) * (K132-K131)+K131</f>
        <v>0.01</v>
      </c>
      <c r="S142" s="61">
        <f>(1 / (1 + EXP(-K133*(0.4)))) * (K132-K131) + K131</f>
        <v>0.6899744811</v>
      </c>
      <c r="T142" s="61">
        <f>(1 / (1 + EXP(-K133*(-0.4)))) * (K132-K131) + K131</f>
        <v>0.3100255189</v>
      </c>
      <c r="U142" s="61">
        <f>(1 / (1 + EXP(-K133*(-0.1))) + 0.5) * (K132-K131) + K131</f>
        <v>0.9501660027</v>
      </c>
      <c r="V142" s="99">
        <f>(1 / (1 + EXP(-K133*(0.1))) - 0.5) * (K132-K131) + K131</f>
        <v>0.04983399731</v>
      </c>
      <c r="W142" s="100"/>
      <c r="X142" s="100"/>
      <c r="Y142" s="101"/>
      <c r="Z142" s="102"/>
    </row>
    <row r="143" ht="14.25" customHeight="1">
      <c r="H143" s="103">
        <f>H142+(I132-I131)/10</f>
        <v>6.6</v>
      </c>
      <c r="I143" s="61">
        <f>OFFSET(L141,0,I130,1,1)</f>
        <v>0.8</v>
      </c>
      <c r="M143" s="104">
        <f>K132</f>
        <v>1</v>
      </c>
      <c r="N143" s="105">
        <f>K131</f>
        <v>0</v>
      </c>
      <c r="O143" s="105">
        <f>K132</f>
        <v>1</v>
      </c>
      <c r="P143" s="105">
        <f>K131</f>
        <v>0</v>
      </c>
      <c r="Q143" s="105">
        <f>K132</f>
        <v>1</v>
      </c>
      <c r="R143" s="105">
        <f>K131</f>
        <v>0</v>
      </c>
      <c r="S143" s="105">
        <f>K132</f>
        <v>1</v>
      </c>
      <c r="T143" s="105">
        <f>K131</f>
        <v>0</v>
      </c>
      <c r="U143" s="105">
        <f>K132</f>
        <v>1</v>
      </c>
      <c r="V143" s="106">
        <f>K131</f>
        <v>0</v>
      </c>
      <c r="W143" s="107"/>
      <c r="X143" s="107"/>
      <c r="Y143" s="108"/>
      <c r="Z143" s="109"/>
    </row>
    <row r="144" ht="14.25" customHeight="1">
      <c r="H144" s="103">
        <f>H143+(I132-I131)/10</f>
        <v>7.3</v>
      </c>
      <c r="I144" s="61">
        <f>OFFSET(L142,0,I130,1,1)</f>
        <v>0.9</v>
      </c>
    </row>
    <row r="145" ht="14.25" customHeight="1">
      <c r="H145" s="103">
        <f>I132</f>
        <v>8</v>
      </c>
      <c r="I145" s="61">
        <f>OFFSET(L143,0,I130,1,1)</f>
        <v>1</v>
      </c>
    </row>
    <row r="146" ht="14.25" customHeight="1">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ht="14.25" customHeight="1"/>
    <row r="148" ht="14.25" customHeight="1">
      <c r="H148" s="72" t="s">
        <v>50</v>
      </c>
      <c r="I148" s="73">
        <v>1.0</v>
      </c>
      <c r="J148" s="73"/>
      <c r="K148" s="74"/>
      <c r="M148" s="75" t="s">
        <v>51</v>
      </c>
      <c r="N148" s="54"/>
      <c r="O148" s="54"/>
      <c r="P148" s="54"/>
      <c r="Q148" s="54"/>
      <c r="R148" s="54"/>
      <c r="S148" s="54"/>
      <c r="T148" s="54"/>
      <c r="U148" s="54"/>
      <c r="V148" s="55"/>
      <c r="W148" s="76" t="s">
        <v>52</v>
      </c>
      <c r="X148" s="77"/>
      <c r="Y148" s="76" t="s">
        <v>53</v>
      </c>
      <c r="Z148" s="77"/>
    </row>
    <row r="149" ht="14.25" customHeight="1">
      <c r="H149" s="78" t="s">
        <v>54</v>
      </c>
      <c r="I149" s="79" t="str">
        <f t="shared" ref="I149:I150" si="1">#REF!</f>
        <v>#REF!</v>
      </c>
      <c r="J149" s="80" t="s">
        <v>55</v>
      </c>
      <c r="K149" s="81">
        <v>0.0</v>
      </c>
      <c r="M149" s="58" t="s">
        <v>56</v>
      </c>
      <c r="N149" s="27"/>
      <c r="O149" s="58" t="s">
        <v>57</v>
      </c>
      <c r="P149" s="27"/>
      <c r="Q149" s="58" t="s">
        <v>58</v>
      </c>
      <c r="R149" s="27"/>
      <c r="S149" s="58" t="s">
        <v>59</v>
      </c>
      <c r="T149" s="27"/>
      <c r="U149" s="58" t="s">
        <v>60</v>
      </c>
      <c r="V149" s="27"/>
      <c r="W149" s="82"/>
      <c r="X149" s="83"/>
      <c r="Y149" s="82"/>
      <c r="Z149" s="83"/>
    </row>
    <row r="150" ht="14.25" customHeight="1">
      <c r="H150" s="78" t="s">
        <v>61</v>
      </c>
      <c r="I150" s="79" t="str">
        <f t="shared" si="1"/>
        <v>#REF!</v>
      </c>
      <c r="J150" s="80" t="s">
        <v>62</v>
      </c>
      <c r="K150" s="81">
        <v>1.0</v>
      </c>
      <c r="M150" s="84" t="s">
        <v>63</v>
      </c>
      <c r="N150" s="85" t="s">
        <v>64</v>
      </c>
      <c r="O150" s="84" t="s">
        <v>63</v>
      </c>
      <c r="P150" s="85" t="s">
        <v>64</v>
      </c>
      <c r="Q150" s="84" t="s">
        <v>63</v>
      </c>
      <c r="R150" s="85" t="s">
        <v>64</v>
      </c>
      <c r="S150" s="84" t="s">
        <v>63</v>
      </c>
      <c r="T150" s="85" t="s">
        <v>64</v>
      </c>
      <c r="U150" s="84" t="s">
        <v>63</v>
      </c>
      <c r="V150" s="85" t="s">
        <v>64</v>
      </c>
      <c r="W150" s="86" t="s">
        <v>65</v>
      </c>
      <c r="X150" s="86" t="s">
        <v>66</v>
      </c>
      <c r="Y150" s="86" t="s">
        <v>67</v>
      </c>
      <c r="Z150" s="87" t="s">
        <v>68</v>
      </c>
    </row>
    <row r="151" ht="14.25" customHeight="1">
      <c r="H151" s="88"/>
      <c r="I151" s="89"/>
      <c r="J151" s="90" t="s">
        <v>69</v>
      </c>
      <c r="K151" s="91">
        <v>2.0</v>
      </c>
      <c r="M151" s="92">
        <f>K149</f>
        <v>0</v>
      </c>
      <c r="N151" s="93">
        <f>K150</f>
        <v>1</v>
      </c>
      <c r="O151" s="93">
        <f>K149</f>
        <v>0</v>
      </c>
      <c r="P151" s="93">
        <f>K150</f>
        <v>1</v>
      </c>
      <c r="Q151" s="93">
        <f>K149</f>
        <v>0</v>
      </c>
      <c r="R151" s="93">
        <f>K150</f>
        <v>1</v>
      </c>
      <c r="S151" s="93">
        <f>K149</f>
        <v>0</v>
      </c>
      <c r="T151" s="93">
        <f>K150</f>
        <v>1</v>
      </c>
      <c r="U151" s="93">
        <f>K149</f>
        <v>0</v>
      </c>
      <c r="V151" s="94">
        <f>K150</f>
        <v>1</v>
      </c>
      <c r="W151" s="95"/>
      <c r="X151" s="95"/>
      <c r="Y151" s="96"/>
      <c r="Z151" s="97"/>
    </row>
    <row r="152" ht="14.25" customHeight="1">
      <c r="H152" s="63" t="s">
        <v>70</v>
      </c>
      <c r="I152" s="63" t="s">
        <v>68</v>
      </c>
      <c r="M152" s="98">
        <f>M151+(M161-M151)/10</f>
        <v>0.1</v>
      </c>
      <c r="N152" s="61">
        <f>N151-(N151-N161)/10</f>
        <v>0.9</v>
      </c>
      <c r="O152" s="61">
        <f>(1 - POWER(0.9,K151)) * (K150-K149) + K149</f>
        <v>0.19</v>
      </c>
      <c r="P152" s="61">
        <f>(1 - POWER(0.1,K151)) * (K150-K149) + K149</f>
        <v>0.99</v>
      </c>
      <c r="Q152" s="61">
        <f>POWER(0.1,K151) * (K150-K149)+K149</f>
        <v>0.01</v>
      </c>
      <c r="R152" s="61">
        <f>POWER(0.9,K151) * (K150-K149)+K149</f>
        <v>0.81</v>
      </c>
      <c r="S152" s="61">
        <f>(1 / (1 + EXP(-K151*(-0.4)))) * (K150-K149) + K149</f>
        <v>0.3100255189</v>
      </c>
      <c r="T152" s="61">
        <f>(1 / (1 + EXP(-K151*(0.4)))) * (K150-K149) + K149</f>
        <v>0.6899744811</v>
      </c>
      <c r="U152" s="61">
        <f>(1 / (1 + EXP(-K151*(0.1))) - 0.5) * (K150-K149) + K149</f>
        <v>0.04983399731</v>
      </c>
      <c r="V152" s="99">
        <f>(1 / (1 + EXP(-K151*(-0.1))) + 0.5) * (K150-K149) + K149</f>
        <v>0.9501660027</v>
      </c>
      <c r="W152" s="100"/>
      <c r="X152" s="100"/>
      <c r="Y152" s="101"/>
      <c r="Z152" s="102"/>
    </row>
    <row r="153" ht="14.25" customHeight="1">
      <c r="H153" s="103" t="str">
        <f>I149</f>
        <v>#REF!</v>
      </c>
      <c r="I153" s="61">
        <f>OFFSET(L151,0,I148,1,1)</f>
        <v>0</v>
      </c>
      <c r="M153" s="98">
        <f>M152+(M161-M151)/10</f>
        <v>0.2</v>
      </c>
      <c r="N153" s="61">
        <f>N152-(N151-N161)/10</f>
        <v>0.8</v>
      </c>
      <c r="O153" s="61">
        <f>(1 - POWER(0.8,K151)) * (K150-K149) + K149</f>
        <v>0.36</v>
      </c>
      <c r="P153" s="61">
        <f>(1 - POWER(0.2,K151)) * (K150-K149) + K149</f>
        <v>0.96</v>
      </c>
      <c r="Q153" s="61">
        <f>POWER(0.2,K151) * (K150-K149)+K149</f>
        <v>0.04</v>
      </c>
      <c r="R153" s="61">
        <f>POWER(0.8,K151) * (K150-K149)+K149</f>
        <v>0.64</v>
      </c>
      <c r="S153" s="61">
        <f>(1 / (1 + EXP(-K151*(-0.3)))) * (K150-K149) + K149</f>
        <v>0.3543436938</v>
      </c>
      <c r="T153" s="61">
        <f>(1 / (1 + EXP(-K151*(0.3)))) * (K150-K149) + K149</f>
        <v>0.6456563062</v>
      </c>
      <c r="U153" s="61">
        <f>(1 / (1 + EXP(-K151*(0.2))) - 0.5) *  (K150-K149) + K149</f>
        <v>0.09868766011</v>
      </c>
      <c r="V153" s="99">
        <f>(1 / (1 + EXP(-K151*(-0.2))) + 0.5) * (K150-K149) + K149</f>
        <v>0.9013123399</v>
      </c>
      <c r="W153" s="100"/>
      <c r="X153" s="100"/>
      <c r="Y153" s="101"/>
      <c r="Z153" s="102"/>
    </row>
    <row r="154" ht="14.25" customHeight="1">
      <c r="H154" s="103" t="str">
        <f>H153+(I150-I149)/10</f>
        <v>#REF!</v>
      </c>
      <c r="I154" s="61">
        <f>OFFSET(L152,0,I148,1,1)</f>
        <v>0.1</v>
      </c>
      <c r="M154" s="98">
        <f>M153+(M161-M151)/10</f>
        <v>0.3</v>
      </c>
      <c r="N154" s="61">
        <f>N153-(N151-N161)/10</f>
        <v>0.7</v>
      </c>
      <c r="O154" s="61">
        <f>(1 - POWER(0.7,K151)) * (K150-K149) + K149</f>
        <v>0.51</v>
      </c>
      <c r="P154" s="61">
        <f>(1 - POWER(0.3,K151)) * (K150-K149) + K149</f>
        <v>0.91</v>
      </c>
      <c r="Q154" s="61">
        <f>POWER(0.3,K151) * (K150-K149)+K149</f>
        <v>0.09</v>
      </c>
      <c r="R154" s="61">
        <f>POWER(0.7,K151) * (K150-K149)+K149</f>
        <v>0.49</v>
      </c>
      <c r="S154" s="61">
        <f>(1 / (1 + EXP(-K151*(-0.2)))) * (K150-K149) + K149</f>
        <v>0.4013123399</v>
      </c>
      <c r="T154" s="61">
        <f>(1 / (1 + EXP(-K151*(0.2)))) * (K150-K149) + K149</f>
        <v>0.5986876601</v>
      </c>
      <c r="U154" s="61">
        <f>(1 / (1 + EXP(-K151*(0.3))) - 0.5) * (K150-K149) + K149</f>
        <v>0.1456563062</v>
      </c>
      <c r="V154" s="99">
        <f>(1 / (1 + EXP(-K151*(-0.3))) + 0.5) * (K150-K149) + K149</f>
        <v>0.8543436938</v>
      </c>
      <c r="W154" s="100"/>
      <c r="X154" s="100"/>
      <c r="Y154" s="101"/>
      <c r="Z154" s="102"/>
    </row>
    <row r="155" ht="14.25" customHeight="1">
      <c r="H155" s="103" t="str">
        <f>H154+(I150-I149)/10</f>
        <v>#REF!</v>
      </c>
      <c r="I155" s="61">
        <f>OFFSET(L153,0,I148,1,1)</f>
        <v>0.2</v>
      </c>
      <c r="M155" s="98">
        <f>M154+(M161-M151)/10</f>
        <v>0.4</v>
      </c>
      <c r="N155" s="61">
        <f>N154-(N151-N161)/10</f>
        <v>0.6</v>
      </c>
      <c r="O155" s="61">
        <f>(1 - POWER(0.6,K151)) * (K150-K149) + K149</f>
        <v>0.64</v>
      </c>
      <c r="P155" s="61">
        <f>(1 - POWER(0.4,K151)) * (K150-K149) + K149</f>
        <v>0.84</v>
      </c>
      <c r="Q155" s="61">
        <f>POWER(0.4,K151) * (K150-K149)+K149</f>
        <v>0.16</v>
      </c>
      <c r="R155" s="61">
        <f>POWER(0.6,K151) * (K150-K149)+K149</f>
        <v>0.36</v>
      </c>
      <c r="S155" s="61">
        <f>(1 / (1 + EXP(-K151*(-0.1)))) * (K150-K149) + K149</f>
        <v>0.4501660027</v>
      </c>
      <c r="T155" s="61">
        <f>(1 / (1 + EXP(-K151*(0.1)))) * (K150-K149) + K149</f>
        <v>0.5498339973</v>
      </c>
      <c r="U155" s="61">
        <f>(1 / (1 + EXP(-K151*(0.4))) - 0.5) * (K150-K149) + K149</f>
        <v>0.1899744811</v>
      </c>
      <c r="V155" s="99">
        <f>(1 / (1 + EXP(-K151*(-0.4))) + 0.5) * (K150-K149) + K149</f>
        <v>0.8100255189</v>
      </c>
      <c r="W155" s="100"/>
      <c r="X155" s="100"/>
      <c r="Y155" s="101"/>
      <c r="Z155" s="102"/>
    </row>
    <row r="156" ht="14.25" customHeight="1">
      <c r="H156" s="103" t="str">
        <f>H155+(I150-I149)/10</f>
        <v>#REF!</v>
      </c>
      <c r="I156" s="61">
        <f>OFFSET(L154,0,I148,1,1)</f>
        <v>0.3</v>
      </c>
      <c r="M156" s="98">
        <f>M155+(M161-M151)/10</f>
        <v>0.5</v>
      </c>
      <c r="N156" s="61">
        <f>N155-(N151-N161)/10</f>
        <v>0.5</v>
      </c>
      <c r="O156" s="61">
        <f>(1 - POWER(0.5,K151)) * (K150-K149) + K149</f>
        <v>0.75</v>
      </c>
      <c r="P156" s="61">
        <f>(1 - POWER(0.5,K151)) * (K150-K149) + K149</f>
        <v>0.75</v>
      </c>
      <c r="Q156" s="61">
        <f>POWER(0.5,K151) * (K150-K149)+K149</f>
        <v>0.25</v>
      </c>
      <c r="R156" s="61">
        <f>POWER(0.5,K151) * (K150-K149)+K149</f>
        <v>0.25</v>
      </c>
      <c r="S156" s="61">
        <f>(1 / (1 + EXP(-K151*(0)))) * (K150-K149) + K149</f>
        <v>0.5</v>
      </c>
      <c r="T156" s="61">
        <f>(1 / (1 + EXP(-K151*(0)))) * (K150-K149) + K149</f>
        <v>0.5</v>
      </c>
      <c r="U156" s="61">
        <f>(1 / (1 + EXP(-K151*(0.5))) - 0.5) * (K150-K149) + K149</f>
        <v>0.2310585786</v>
      </c>
      <c r="V156" s="99">
        <f>(1 / (1 + EXP(-K151*(0.5))) - 0.5) * (K150-K149) + K149</f>
        <v>0.2310585786</v>
      </c>
      <c r="W156" s="100"/>
      <c r="X156" s="100"/>
      <c r="Y156" s="101"/>
      <c r="Z156" s="102"/>
    </row>
    <row r="157" ht="14.25" customHeight="1">
      <c r="H157" s="103" t="str">
        <f>H156+(I150-I149)/10</f>
        <v>#REF!</v>
      </c>
      <c r="I157" s="61">
        <f>OFFSET(L155,0,I148,1,1)</f>
        <v>0.4</v>
      </c>
      <c r="M157" s="98">
        <f>M156+(M161-M151)/10</f>
        <v>0.6</v>
      </c>
      <c r="N157" s="61">
        <f>N156-(N151-N161)/10</f>
        <v>0.4</v>
      </c>
      <c r="O157" s="61">
        <f>(1 - POWER(0.4,K151)) * (K150-K149) + K149</f>
        <v>0.84</v>
      </c>
      <c r="P157" s="61">
        <f>(1 - POWER(0.6,K151)) * (K150-K149) + K149</f>
        <v>0.64</v>
      </c>
      <c r="Q157" s="61">
        <f>POWER(0.6,K151) * (K150-K149)+K149</f>
        <v>0.36</v>
      </c>
      <c r="R157" s="61">
        <f>POWER(0.4,K151) * (K150-K149)+K149</f>
        <v>0.16</v>
      </c>
      <c r="S157" s="61">
        <f>(1 / (1 + EXP(-K151*(0.1)))) * (K150-K149) + K149</f>
        <v>0.5498339973</v>
      </c>
      <c r="T157" s="61">
        <f>(1 / (1 + EXP(-K151*(-0.1)))) * (K150-K149) + K149</f>
        <v>0.4501660027</v>
      </c>
      <c r="U157" s="61">
        <f>(1 / (1 + EXP(-K151*(-0.4))) + 0.5) * (K150-K149) + K149</f>
        <v>0.8100255189</v>
      </c>
      <c r="V157" s="99">
        <f>(1 / (1 + EXP(-K151*(0.4))) - 0.5) * (K150-K149) + K149</f>
        <v>0.1899744811</v>
      </c>
      <c r="W157" s="100"/>
      <c r="X157" s="100"/>
      <c r="Y157" s="101"/>
      <c r="Z157" s="102"/>
    </row>
    <row r="158" ht="14.25" customHeight="1">
      <c r="H158" s="103" t="str">
        <f>H157+(I150-I149)/10</f>
        <v>#REF!</v>
      </c>
      <c r="I158" s="61">
        <f>OFFSET(L156,0,I148,1,1)</f>
        <v>0.5</v>
      </c>
      <c r="M158" s="98">
        <f>M157+(M161-M151)/10</f>
        <v>0.7</v>
      </c>
      <c r="N158" s="61">
        <f>N157-(N151-N161)/10</f>
        <v>0.3</v>
      </c>
      <c r="O158" s="61">
        <f>(1 - POWER(0.3,K151)) * (K150-K149) + K149</f>
        <v>0.91</v>
      </c>
      <c r="P158" s="61">
        <f>(1 - POWER(0.7,K151)) * (K150-K149) + K149</f>
        <v>0.51</v>
      </c>
      <c r="Q158" s="61">
        <f>POWER(0.7,K151) * (K150-K149)+K149</f>
        <v>0.49</v>
      </c>
      <c r="R158" s="61">
        <f>POWER(0.3,K151) * (K150-K149)+K149</f>
        <v>0.09</v>
      </c>
      <c r="S158" s="61">
        <f>(1 / (1 + EXP(-K151*(0.2)))) * (K150-K149) + K149</f>
        <v>0.5986876601</v>
      </c>
      <c r="T158" s="61">
        <f>(1 / (1 + EXP(-K151*(-0.2)))) * (K150-K149) + K149</f>
        <v>0.4013123399</v>
      </c>
      <c r="U158" s="61">
        <f>(1 / (1 + EXP(-K151*(-0.3))) + 0.5) * (K150-K149) + K149</f>
        <v>0.8543436938</v>
      </c>
      <c r="V158" s="99">
        <f>(1 / (1 + EXP(-K151*(0.3))) - 0.5) * (K150-K149) + K149</f>
        <v>0.1456563062</v>
      </c>
      <c r="W158" s="100"/>
      <c r="X158" s="100"/>
      <c r="Y158" s="101"/>
      <c r="Z158" s="102"/>
    </row>
    <row r="159" ht="14.25" customHeight="1">
      <c r="H159" s="103" t="str">
        <f>H158+(I150-I149)/10</f>
        <v>#REF!</v>
      </c>
      <c r="I159" s="61">
        <f>OFFSET(L157,0,I148,1,1)</f>
        <v>0.6</v>
      </c>
      <c r="M159" s="98">
        <f>M158+(M161-M151)/10</f>
        <v>0.8</v>
      </c>
      <c r="N159" s="61">
        <f>N158-(N151-N161)/10</f>
        <v>0.2</v>
      </c>
      <c r="O159" s="61">
        <f>(1 - POWER(0.2,K151)) * (K150-K149) + K149</f>
        <v>0.96</v>
      </c>
      <c r="P159" s="61">
        <f>(1 - POWER(0.8,K151)) * (K150-K149) + K149</f>
        <v>0.36</v>
      </c>
      <c r="Q159" s="61">
        <f>POWER(0.8,K151) * (K150-K149)+K149</f>
        <v>0.64</v>
      </c>
      <c r="R159" s="61">
        <f>POWER(0.2,K151) * (K150-K149)+K149</f>
        <v>0.04</v>
      </c>
      <c r="S159" s="61">
        <f>(1 / (1 + EXP(-K151*(0.3)))) * (K150-K149) + K149</f>
        <v>0.6456563062</v>
      </c>
      <c r="T159" s="61">
        <f>(1 / (1 + EXP(-K151*(-0.3)))) * (K150-K149) + K149</f>
        <v>0.3543436938</v>
      </c>
      <c r="U159" s="61">
        <f>(1 / (1 + EXP(-K151*(-0.2))) + 0.5) * (K150-K149) + K149</f>
        <v>0.9013123399</v>
      </c>
      <c r="V159" s="99">
        <f>(1 / (1 + EXP(-K151*(0.2))) - 0.5) *  (K150-K149) + K149</f>
        <v>0.09868766011</v>
      </c>
      <c r="W159" s="100"/>
      <c r="X159" s="100"/>
      <c r="Y159" s="101"/>
      <c r="Z159" s="102"/>
    </row>
    <row r="160" ht="14.25" customHeight="1">
      <c r="H160" s="103" t="str">
        <f>H159+(I150-I149)/10</f>
        <v>#REF!</v>
      </c>
      <c r="I160" s="61">
        <f>OFFSET(L158,0,I148,1,1)</f>
        <v>0.7</v>
      </c>
      <c r="M160" s="98">
        <f>M159+(M161-M151)/10</f>
        <v>0.9</v>
      </c>
      <c r="N160" s="61">
        <f>N159-(N151-N161)/10</f>
        <v>0.1</v>
      </c>
      <c r="O160" s="61">
        <f>(1 - POWER(0.1,K151)) * (K150-K149) + K149</f>
        <v>0.99</v>
      </c>
      <c r="P160" s="61">
        <f>(1 - POWER(0.9,K151)) * (K150-K149) + K149</f>
        <v>0.19</v>
      </c>
      <c r="Q160" s="61">
        <f>POWER(0.9,K151) * (K150-K149)+K149</f>
        <v>0.81</v>
      </c>
      <c r="R160" s="61">
        <f>POWER(0.1,K151) * (K150-K149)+K149</f>
        <v>0.01</v>
      </c>
      <c r="S160" s="61">
        <f>(1 / (1 + EXP(-K151*(0.4)))) * (K150-K149) + K149</f>
        <v>0.6899744811</v>
      </c>
      <c r="T160" s="61">
        <f>(1 / (1 + EXP(-K151*(-0.4)))) * (K150-K149) + K149</f>
        <v>0.3100255189</v>
      </c>
      <c r="U160" s="61">
        <f>(1 / (1 + EXP(-K151*(-0.1))) + 0.5) * (K150-K149) + K149</f>
        <v>0.9501660027</v>
      </c>
      <c r="V160" s="99">
        <f>(1 / (1 + EXP(-K151*(0.1))) - 0.5) * (K150-K149) + K149</f>
        <v>0.04983399731</v>
      </c>
      <c r="W160" s="100"/>
      <c r="X160" s="100"/>
      <c r="Y160" s="101"/>
      <c r="Z160" s="102"/>
    </row>
    <row r="161" ht="14.25" customHeight="1">
      <c r="H161" s="103" t="str">
        <f>H160+(I150-I149)/10</f>
        <v>#REF!</v>
      </c>
      <c r="I161" s="61">
        <f>OFFSET(L159,0,I148,1,1)</f>
        <v>0.8</v>
      </c>
      <c r="M161" s="104">
        <f>K150</f>
        <v>1</v>
      </c>
      <c r="N161" s="105">
        <f>K149</f>
        <v>0</v>
      </c>
      <c r="O161" s="105">
        <f>K150</f>
        <v>1</v>
      </c>
      <c r="P161" s="105">
        <f>K149</f>
        <v>0</v>
      </c>
      <c r="Q161" s="105">
        <f>K150</f>
        <v>1</v>
      </c>
      <c r="R161" s="105">
        <f>K149</f>
        <v>0</v>
      </c>
      <c r="S161" s="105">
        <f>K150</f>
        <v>1</v>
      </c>
      <c r="T161" s="105">
        <f>K149</f>
        <v>0</v>
      </c>
      <c r="U161" s="105">
        <f>K150</f>
        <v>1</v>
      </c>
      <c r="V161" s="106">
        <f>K149</f>
        <v>0</v>
      </c>
      <c r="W161" s="107"/>
      <c r="X161" s="107"/>
      <c r="Y161" s="108"/>
      <c r="Z161" s="109"/>
    </row>
    <row r="162" ht="14.25" customHeight="1">
      <c r="H162" s="103" t="str">
        <f>H161+(I150-I149)/10</f>
        <v>#REF!</v>
      </c>
      <c r="I162" s="61">
        <f>OFFSET(L160,0,I148,1,1)</f>
        <v>0.9</v>
      </c>
    </row>
    <row r="163" ht="14.25" customHeight="1">
      <c r="H163" s="103" t="str">
        <f>I150</f>
        <v>#REF!</v>
      </c>
      <c r="I163" s="61">
        <f>OFFSET(L161,0,I148,1,1)</f>
        <v>1</v>
      </c>
    </row>
    <row r="164" ht="14.25" customHeight="1">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ht="14.25" customHeight="1"/>
    <row r="166" ht="14.25" customHeight="1">
      <c r="H166" s="72" t="s">
        <v>50</v>
      </c>
      <c r="I166" s="73">
        <v>1.0</v>
      </c>
      <c r="J166" s="73"/>
      <c r="K166" s="74"/>
      <c r="M166" s="75" t="s">
        <v>51</v>
      </c>
      <c r="N166" s="54"/>
      <c r="O166" s="54"/>
      <c r="P166" s="54"/>
      <c r="Q166" s="54"/>
      <c r="R166" s="54"/>
      <c r="S166" s="54"/>
      <c r="T166" s="54"/>
      <c r="U166" s="54"/>
      <c r="V166" s="55"/>
      <c r="W166" s="76" t="s">
        <v>52</v>
      </c>
      <c r="X166" s="77"/>
      <c r="Y166" s="76" t="s">
        <v>53</v>
      </c>
      <c r="Z166" s="77"/>
    </row>
    <row r="167" ht="14.25" customHeight="1">
      <c r="H167" s="78" t="s">
        <v>54</v>
      </c>
      <c r="I167" s="79" t="str">
        <f t="shared" ref="I167:I168" si="2">#REF!</f>
        <v>#REF!</v>
      </c>
      <c r="J167" s="80" t="s">
        <v>55</v>
      </c>
      <c r="K167" s="81">
        <v>0.0</v>
      </c>
      <c r="M167" s="58" t="s">
        <v>56</v>
      </c>
      <c r="N167" s="27"/>
      <c r="O167" s="58" t="s">
        <v>57</v>
      </c>
      <c r="P167" s="27"/>
      <c r="Q167" s="58" t="s">
        <v>58</v>
      </c>
      <c r="R167" s="27"/>
      <c r="S167" s="58" t="s">
        <v>59</v>
      </c>
      <c r="T167" s="27"/>
      <c r="U167" s="58" t="s">
        <v>60</v>
      </c>
      <c r="V167" s="27"/>
      <c r="W167" s="82"/>
      <c r="X167" s="83"/>
      <c r="Y167" s="82"/>
      <c r="Z167" s="83"/>
    </row>
    <row r="168" ht="14.25" customHeight="1">
      <c r="H168" s="78" t="s">
        <v>61</v>
      </c>
      <c r="I168" s="79" t="str">
        <f t="shared" si="2"/>
        <v>#REF!</v>
      </c>
      <c r="J168" s="80" t="s">
        <v>62</v>
      </c>
      <c r="K168" s="81">
        <v>1.0</v>
      </c>
      <c r="M168" s="84" t="s">
        <v>63</v>
      </c>
      <c r="N168" s="85" t="s">
        <v>64</v>
      </c>
      <c r="O168" s="84" t="s">
        <v>63</v>
      </c>
      <c r="P168" s="85" t="s">
        <v>64</v>
      </c>
      <c r="Q168" s="84" t="s">
        <v>63</v>
      </c>
      <c r="R168" s="85" t="s">
        <v>64</v>
      </c>
      <c r="S168" s="84" t="s">
        <v>63</v>
      </c>
      <c r="T168" s="85" t="s">
        <v>64</v>
      </c>
      <c r="U168" s="84" t="s">
        <v>63</v>
      </c>
      <c r="V168" s="85" t="s">
        <v>64</v>
      </c>
      <c r="W168" s="86" t="s">
        <v>65</v>
      </c>
      <c r="X168" s="86" t="s">
        <v>66</v>
      </c>
      <c r="Y168" s="86" t="s">
        <v>67</v>
      </c>
      <c r="Z168" s="87" t="s">
        <v>68</v>
      </c>
    </row>
    <row r="169" ht="14.25" customHeight="1">
      <c r="H169" s="88"/>
      <c r="I169" s="89"/>
      <c r="J169" s="90" t="s">
        <v>69</v>
      </c>
      <c r="K169" s="91">
        <v>2.0</v>
      </c>
      <c r="M169" s="92">
        <f>K167</f>
        <v>0</v>
      </c>
      <c r="N169" s="93">
        <f>K168</f>
        <v>1</v>
      </c>
      <c r="O169" s="93">
        <f>K167</f>
        <v>0</v>
      </c>
      <c r="P169" s="93">
        <f>K168</f>
        <v>1</v>
      </c>
      <c r="Q169" s="93">
        <f>K167</f>
        <v>0</v>
      </c>
      <c r="R169" s="93">
        <f>K168</f>
        <v>1</v>
      </c>
      <c r="S169" s="93">
        <f>K167</f>
        <v>0</v>
      </c>
      <c r="T169" s="93">
        <f>K168</f>
        <v>1</v>
      </c>
      <c r="U169" s="93">
        <f>K167</f>
        <v>0</v>
      </c>
      <c r="V169" s="94">
        <f>K168</f>
        <v>1</v>
      </c>
      <c r="W169" s="95"/>
      <c r="X169" s="95"/>
      <c r="Y169" s="96"/>
      <c r="Z169" s="97"/>
    </row>
    <row r="170" ht="14.25" customHeight="1">
      <c r="H170" s="63" t="s">
        <v>70</v>
      </c>
      <c r="I170" s="63" t="s">
        <v>68</v>
      </c>
      <c r="M170" s="98">
        <f>M169+(M179-M169)/10</f>
        <v>0.1</v>
      </c>
      <c r="N170" s="61">
        <f>N169-(N169-N179)/10</f>
        <v>0.9</v>
      </c>
      <c r="O170" s="61">
        <f>(1 - POWER(0.9,K169)) * (K168-K167) + K167</f>
        <v>0.19</v>
      </c>
      <c r="P170" s="61">
        <f>(1 - POWER(0.1,K169)) * (K168-K167) + K167</f>
        <v>0.99</v>
      </c>
      <c r="Q170" s="61">
        <f>POWER(0.1,K169) * (K168-K167)+K167</f>
        <v>0.01</v>
      </c>
      <c r="R170" s="61">
        <f>POWER(0.9,K169) * (K168-K167)+K167</f>
        <v>0.81</v>
      </c>
      <c r="S170" s="61">
        <f>(1 / (1 + EXP(-K169*(-0.4)))) * (K168-K167) + K167</f>
        <v>0.3100255189</v>
      </c>
      <c r="T170" s="61">
        <f>(1 / (1 + EXP(-K169*(0.4)))) * (K168-K167) + K167</f>
        <v>0.6899744811</v>
      </c>
      <c r="U170" s="61">
        <f>(1 / (1 + EXP(-K169*(0.1))) - 0.5) * (K168-K167) + K167</f>
        <v>0.04983399731</v>
      </c>
      <c r="V170" s="99">
        <f>(1 / (1 + EXP(-K169*(-0.1))) + 0.5) * (K168-K167) + K167</f>
        <v>0.9501660027</v>
      </c>
      <c r="W170" s="100"/>
      <c r="X170" s="100"/>
      <c r="Y170" s="101"/>
      <c r="Z170" s="102"/>
    </row>
    <row r="171" ht="14.25" customHeight="1">
      <c r="H171" s="103" t="str">
        <f>I167</f>
        <v>#REF!</v>
      </c>
      <c r="I171" s="61">
        <f>OFFSET(L169,0,I166,1,1)</f>
        <v>0</v>
      </c>
      <c r="M171" s="98">
        <f>M170+(M179-M169)/10</f>
        <v>0.2</v>
      </c>
      <c r="N171" s="61">
        <f>N170-(N169-N179)/10</f>
        <v>0.8</v>
      </c>
      <c r="O171" s="61">
        <f>(1 - POWER(0.8,K169)) * (K168-K167) + K167</f>
        <v>0.36</v>
      </c>
      <c r="P171" s="61">
        <f>(1 - POWER(0.2,K169)) * (K168-K167) + K167</f>
        <v>0.96</v>
      </c>
      <c r="Q171" s="61">
        <f>POWER(0.2,K169) * (K168-K167)+K167</f>
        <v>0.04</v>
      </c>
      <c r="R171" s="61">
        <f>POWER(0.8,K169) * (K168-K167)+K167</f>
        <v>0.64</v>
      </c>
      <c r="S171" s="61">
        <f>(1 / (1 + EXP(-K169*(-0.3)))) * (K168-K167) + K167</f>
        <v>0.3543436938</v>
      </c>
      <c r="T171" s="61">
        <f>(1 / (1 + EXP(-K169*(0.3)))) * (K168-K167) + K167</f>
        <v>0.6456563062</v>
      </c>
      <c r="U171" s="61">
        <f>(1 / (1 + EXP(-K169*(0.2))) - 0.5) *  (K168-K167) + K167</f>
        <v>0.09868766011</v>
      </c>
      <c r="V171" s="99">
        <f>(1 / (1 + EXP(-K169*(-0.2))) + 0.5) * (K168-K167) + K167</f>
        <v>0.9013123399</v>
      </c>
      <c r="W171" s="100"/>
      <c r="X171" s="100"/>
      <c r="Y171" s="101"/>
      <c r="Z171" s="102"/>
    </row>
    <row r="172" ht="14.25" customHeight="1">
      <c r="H172" s="103" t="str">
        <f>H171+(I168-I167)/10</f>
        <v>#REF!</v>
      </c>
      <c r="I172" s="61">
        <f>OFFSET(L170,0,I166,1,1)</f>
        <v>0.1</v>
      </c>
      <c r="M172" s="98">
        <f>M171+(M179-M169)/10</f>
        <v>0.3</v>
      </c>
      <c r="N172" s="61">
        <f>N171-(N169-N179)/10</f>
        <v>0.7</v>
      </c>
      <c r="O172" s="61">
        <f>(1 - POWER(0.7,K169)) * (K168-K167) + K167</f>
        <v>0.51</v>
      </c>
      <c r="P172" s="61">
        <f>(1 - POWER(0.3,K169)) * (K168-K167) + K167</f>
        <v>0.91</v>
      </c>
      <c r="Q172" s="61">
        <f>POWER(0.3,K169) * (K168-K167)+K167</f>
        <v>0.09</v>
      </c>
      <c r="R172" s="61">
        <f>POWER(0.7,K169) * (K168-K167)+K167</f>
        <v>0.49</v>
      </c>
      <c r="S172" s="61">
        <f>(1 / (1 + EXP(-K169*(-0.2)))) * (K168-K167) + K167</f>
        <v>0.4013123399</v>
      </c>
      <c r="T172" s="61">
        <f>(1 / (1 + EXP(-K169*(0.2)))) * (K168-K167) + K167</f>
        <v>0.5986876601</v>
      </c>
      <c r="U172" s="61">
        <f>(1 / (1 + EXP(-K169*(0.3))) - 0.5) * (K168-K167) + K167</f>
        <v>0.1456563062</v>
      </c>
      <c r="V172" s="99">
        <f>(1 / (1 + EXP(-K169*(-0.3))) + 0.5) * (K168-K167) + K167</f>
        <v>0.8543436938</v>
      </c>
      <c r="W172" s="100"/>
      <c r="X172" s="100"/>
      <c r="Y172" s="101"/>
      <c r="Z172" s="102"/>
    </row>
    <row r="173" ht="14.25" customHeight="1">
      <c r="H173" s="103" t="str">
        <f>H172+(I168-I167)/10</f>
        <v>#REF!</v>
      </c>
      <c r="I173" s="61">
        <f>OFFSET(L171,0,I166,1,1)</f>
        <v>0.2</v>
      </c>
      <c r="M173" s="98">
        <f>M172+(M179-M169)/10</f>
        <v>0.4</v>
      </c>
      <c r="N173" s="61">
        <f>N172-(N169-N179)/10</f>
        <v>0.6</v>
      </c>
      <c r="O173" s="61">
        <f>(1 - POWER(0.6,K169)) * (K168-K167) + K167</f>
        <v>0.64</v>
      </c>
      <c r="P173" s="61">
        <f>(1 - POWER(0.4,K169)) * (K168-K167) + K167</f>
        <v>0.84</v>
      </c>
      <c r="Q173" s="61">
        <f>POWER(0.4,K169) * (K168-K167)+K167</f>
        <v>0.16</v>
      </c>
      <c r="R173" s="61">
        <f>POWER(0.6,K169) * (K168-K167)+K167</f>
        <v>0.36</v>
      </c>
      <c r="S173" s="61">
        <f>(1 / (1 + EXP(-K169*(-0.1)))) * (K168-K167) + K167</f>
        <v>0.4501660027</v>
      </c>
      <c r="T173" s="61">
        <f>(1 / (1 + EXP(-K169*(0.1)))) * (K168-K167) + K167</f>
        <v>0.5498339973</v>
      </c>
      <c r="U173" s="61">
        <f>(1 / (1 + EXP(-K169*(0.4))) - 0.5) * (K168-K167) + K167</f>
        <v>0.1899744811</v>
      </c>
      <c r="V173" s="99">
        <f>(1 / (1 + EXP(-K169*(-0.4))) + 0.5) * (K168-K167) + K167</f>
        <v>0.8100255189</v>
      </c>
      <c r="W173" s="100"/>
      <c r="X173" s="100"/>
      <c r="Y173" s="101"/>
      <c r="Z173" s="102"/>
    </row>
    <row r="174" ht="14.25" customHeight="1">
      <c r="H174" s="103" t="str">
        <f>H173+(I168-I167)/10</f>
        <v>#REF!</v>
      </c>
      <c r="I174" s="61">
        <f>OFFSET(L172,0,I166,1,1)</f>
        <v>0.3</v>
      </c>
      <c r="M174" s="98">
        <f>M173+(M179-M169)/10</f>
        <v>0.5</v>
      </c>
      <c r="N174" s="61">
        <f>N173-(N169-N179)/10</f>
        <v>0.5</v>
      </c>
      <c r="O174" s="61">
        <f>(1 - POWER(0.5,K169)) * (K168-K167) + K167</f>
        <v>0.75</v>
      </c>
      <c r="P174" s="61">
        <f>(1 - POWER(0.5,K169)) * (K168-K167) + K167</f>
        <v>0.75</v>
      </c>
      <c r="Q174" s="61">
        <f>POWER(0.5,K169) * (K168-K167)+K167</f>
        <v>0.25</v>
      </c>
      <c r="R174" s="61">
        <f>POWER(0.5,K169) * (K168-K167)+K167</f>
        <v>0.25</v>
      </c>
      <c r="S174" s="61">
        <f>(1 / (1 + EXP(-K169*(0)))) * (K168-K167) + K167</f>
        <v>0.5</v>
      </c>
      <c r="T174" s="61">
        <f>(1 / (1 + EXP(-K169*(0)))) * (K168-K167) + K167</f>
        <v>0.5</v>
      </c>
      <c r="U174" s="61">
        <f>(1 / (1 + EXP(-K169*(0.5))) - 0.5) * (K168-K167) + K167</f>
        <v>0.2310585786</v>
      </c>
      <c r="V174" s="99">
        <f>(1 / (1 + EXP(-K169*(0.5))) - 0.5) * (K168-K167) + K167</f>
        <v>0.2310585786</v>
      </c>
      <c r="W174" s="100"/>
      <c r="X174" s="100"/>
      <c r="Y174" s="101"/>
      <c r="Z174" s="102"/>
    </row>
    <row r="175" ht="14.25" customHeight="1">
      <c r="H175" s="103" t="str">
        <f>H174+(I168-I167)/10</f>
        <v>#REF!</v>
      </c>
      <c r="I175" s="61">
        <f>OFFSET(L173,0,I166,1,1)</f>
        <v>0.4</v>
      </c>
      <c r="M175" s="98">
        <f>M174+(M179-M169)/10</f>
        <v>0.6</v>
      </c>
      <c r="N175" s="61">
        <f>N174-(N169-N179)/10</f>
        <v>0.4</v>
      </c>
      <c r="O175" s="61">
        <f>(1 - POWER(0.4,K169)) * (K168-K167) + K167</f>
        <v>0.84</v>
      </c>
      <c r="P175" s="61">
        <f>(1 - POWER(0.6,K169)) * (K168-K167) + K167</f>
        <v>0.64</v>
      </c>
      <c r="Q175" s="61">
        <f>POWER(0.6,K169) * (K168-K167)+K167</f>
        <v>0.36</v>
      </c>
      <c r="R175" s="61">
        <f>POWER(0.4,K169) * (K168-K167)+K167</f>
        <v>0.16</v>
      </c>
      <c r="S175" s="61">
        <f>(1 / (1 + EXP(-K169*(0.1)))) * (K168-K167) + K167</f>
        <v>0.5498339973</v>
      </c>
      <c r="T175" s="61">
        <f>(1 / (1 + EXP(-K169*(-0.1)))) * (K168-K167) + K167</f>
        <v>0.4501660027</v>
      </c>
      <c r="U175" s="61">
        <f>(1 / (1 + EXP(-K169*(-0.4))) + 0.5) * (K168-K167) + K167</f>
        <v>0.8100255189</v>
      </c>
      <c r="V175" s="99">
        <f>(1 / (1 + EXP(-K169*(0.4))) - 0.5) * (K168-K167) + K167</f>
        <v>0.1899744811</v>
      </c>
      <c r="W175" s="100"/>
      <c r="X175" s="100"/>
      <c r="Y175" s="101"/>
      <c r="Z175" s="102"/>
    </row>
    <row r="176" ht="14.25" customHeight="1">
      <c r="H176" s="103" t="str">
        <f>H175+(I168-I167)/10</f>
        <v>#REF!</v>
      </c>
      <c r="I176" s="61">
        <f>OFFSET(L174,0,I166,1,1)</f>
        <v>0.5</v>
      </c>
      <c r="M176" s="98">
        <f>M175+(M179-M169)/10</f>
        <v>0.7</v>
      </c>
      <c r="N176" s="61">
        <f>N175-(N169-N179)/10</f>
        <v>0.3</v>
      </c>
      <c r="O176" s="61">
        <f>(1 - POWER(0.3,K169)) * (K168-K167) + K167</f>
        <v>0.91</v>
      </c>
      <c r="P176" s="61">
        <f>(1 - POWER(0.7,K169)) * (K168-K167) + K167</f>
        <v>0.51</v>
      </c>
      <c r="Q176" s="61">
        <f>POWER(0.7,K169) * (K168-K167)+K167</f>
        <v>0.49</v>
      </c>
      <c r="R176" s="61">
        <f>POWER(0.3,K169) * (K168-K167)+K167</f>
        <v>0.09</v>
      </c>
      <c r="S176" s="61">
        <f>(1 / (1 + EXP(-K169*(0.2)))) * (K168-K167) + K167</f>
        <v>0.5986876601</v>
      </c>
      <c r="T176" s="61">
        <f>(1 / (1 + EXP(-K169*(-0.2)))) * (K168-K167) + K167</f>
        <v>0.4013123399</v>
      </c>
      <c r="U176" s="61">
        <f>(1 / (1 + EXP(-K169*(-0.3))) + 0.5) * (K168-K167) + K167</f>
        <v>0.8543436938</v>
      </c>
      <c r="V176" s="99">
        <f>(1 / (1 + EXP(-K169*(0.3))) - 0.5) * (K168-K167) + K167</f>
        <v>0.1456563062</v>
      </c>
      <c r="W176" s="100"/>
      <c r="X176" s="100"/>
      <c r="Y176" s="101"/>
      <c r="Z176" s="102"/>
    </row>
    <row r="177" ht="14.25" customHeight="1">
      <c r="H177" s="103" t="str">
        <f>H176+(I168-I167)/10</f>
        <v>#REF!</v>
      </c>
      <c r="I177" s="61">
        <f>OFFSET(L175,0,I166,1,1)</f>
        <v>0.6</v>
      </c>
      <c r="M177" s="98">
        <f>M176+(M179-M169)/10</f>
        <v>0.8</v>
      </c>
      <c r="N177" s="61">
        <f>N176-(N169-N179)/10</f>
        <v>0.2</v>
      </c>
      <c r="O177" s="61">
        <f>(1 - POWER(0.2,K169)) * (K168-K167) + K167</f>
        <v>0.96</v>
      </c>
      <c r="P177" s="61">
        <f>(1 - POWER(0.8,K169)) * (K168-K167) + K167</f>
        <v>0.36</v>
      </c>
      <c r="Q177" s="61">
        <f>POWER(0.8,K169) * (K168-K167)+K167</f>
        <v>0.64</v>
      </c>
      <c r="R177" s="61">
        <f>POWER(0.2,K169) * (K168-K167)+K167</f>
        <v>0.04</v>
      </c>
      <c r="S177" s="61">
        <f>(1 / (1 + EXP(-K169*(0.3)))) * (K168-K167) + K167</f>
        <v>0.6456563062</v>
      </c>
      <c r="T177" s="61">
        <f>(1 / (1 + EXP(-K169*(-0.3)))) * (K168-K167) + K167</f>
        <v>0.3543436938</v>
      </c>
      <c r="U177" s="61">
        <f>(1 / (1 + EXP(-K169*(-0.2))) + 0.5) * (K168-K167) + K167</f>
        <v>0.9013123399</v>
      </c>
      <c r="V177" s="99">
        <f>(1 / (1 + EXP(-K169*(0.2))) - 0.5) *  (K168-K167) + K167</f>
        <v>0.09868766011</v>
      </c>
      <c r="W177" s="100"/>
      <c r="X177" s="100"/>
      <c r="Y177" s="101"/>
      <c r="Z177" s="102"/>
    </row>
    <row r="178" ht="14.25" customHeight="1">
      <c r="H178" s="103" t="str">
        <f>H177+(I168-I167)/10</f>
        <v>#REF!</v>
      </c>
      <c r="I178" s="61">
        <f>OFFSET(L176,0,I166,1,1)</f>
        <v>0.7</v>
      </c>
      <c r="M178" s="98">
        <f>M177+(M179-M169)/10</f>
        <v>0.9</v>
      </c>
      <c r="N178" s="61">
        <f>N177-(N169-N179)/10</f>
        <v>0.1</v>
      </c>
      <c r="O178" s="61">
        <f>(1 - POWER(0.1,K169)) * (K168-K167) + K167</f>
        <v>0.99</v>
      </c>
      <c r="P178" s="61">
        <f>(1 - POWER(0.9,K169)) * (K168-K167) + K167</f>
        <v>0.19</v>
      </c>
      <c r="Q178" s="61">
        <f>POWER(0.9,K169) * (K168-K167)+K167</f>
        <v>0.81</v>
      </c>
      <c r="R178" s="61">
        <f>POWER(0.1,K169) * (K168-K167)+K167</f>
        <v>0.01</v>
      </c>
      <c r="S178" s="61">
        <f>(1 / (1 + EXP(-K169*(0.4)))) * (K168-K167) + K167</f>
        <v>0.6899744811</v>
      </c>
      <c r="T178" s="61">
        <f>(1 / (1 + EXP(-K169*(-0.4)))) * (K168-K167) + K167</f>
        <v>0.3100255189</v>
      </c>
      <c r="U178" s="61">
        <f>(1 / (1 + EXP(-K169*(-0.1))) + 0.5) * (K168-K167) + K167</f>
        <v>0.9501660027</v>
      </c>
      <c r="V178" s="99">
        <f>(1 / (1 + EXP(-K169*(0.1))) - 0.5) * (K168-K167) + K167</f>
        <v>0.04983399731</v>
      </c>
      <c r="W178" s="100"/>
      <c r="X178" s="100"/>
      <c r="Y178" s="101"/>
      <c r="Z178" s="102"/>
    </row>
    <row r="179" ht="14.25" customHeight="1">
      <c r="H179" s="103" t="str">
        <f>H178+(I168-I167)/10</f>
        <v>#REF!</v>
      </c>
      <c r="I179" s="61">
        <f>OFFSET(L177,0,I166,1,1)</f>
        <v>0.8</v>
      </c>
      <c r="M179" s="104">
        <f>K168</f>
        <v>1</v>
      </c>
      <c r="N179" s="105">
        <f>K167</f>
        <v>0</v>
      </c>
      <c r="O179" s="105">
        <f>K168</f>
        <v>1</v>
      </c>
      <c r="P179" s="105">
        <f>K167</f>
        <v>0</v>
      </c>
      <c r="Q179" s="105">
        <f>K168</f>
        <v>1</v>
      </c>
      <c r="R179" s="105">
        <f>K167</f>
        <v>0</v>
      </c>
      <c r="S179" s="105">
        <f>K168</f>
        <v>1</v>
      </c>
      <c r="T179" s="105">
        <f>K167</f>
        <v>0</v>
      </c>
      <c r="U179" s="105">
        <f>K168</f>
        <v>1</v>
      </c>
      <c r="V179" s="106">
        <f>K167</f>
        <v>0</v>
      </c>
      <c r="W179" s="107"/>
      <c r="X179" s="107"/>
      <c r="Y179" s="108"/>
      <c r="Z179" s="109"/>
    </row>
    <row r="180" ht="14.25" customHeight="1">
      <c r="H180" s="103" t="str">
        <f>H179+(I168-I167)/10</f>
        <v>#REF!</v>
      </c>
      <c r="I180" s="61">
        <f>OFFSET(L178,0,I166,1,1)</f>
        <v>0.9</v>
      </c>
    </row>
    <row r="181" ht="14.25" customHeight="1">
      <c r="H181" s="103" t="str">
        <f>I168</f>
        <v>#REF!</v>
      </c>
      <c r="I181" s="61">
        <f>OFFSET(L179,0,I166,1,1)</f>
        <v>1</v>
      </c>
    </row>
    <row r="182" ht="14.25" customHeight="1">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ht="14.25" customHeight="1"/>
    <row r="184" ht="14.25" customHeight="1">
      <c r="H184" s="72" t="s">
        <v>50</v>
      </c>
      <c r="I184" s="73">
        <v>1.0</v>
      </c>
      <c r="J184" s="73"/>
      <c r="K184" s="74"/>
      <c r="M184" s="75" t="s">
        <v>51</v>
      </c>
      <c r="N184" s="54"/>
      <c r="O184" s="54"/>
      <c r="P184" s="54"/>
      <c r="Q184" s="54"/>
      <c r="R184" s="54"/>
      <c r="S184" s="54"/>
      <c r="T184" s="54"/>
      <c r="U184" s="54"/>
      <c r="V184" s="55"/>
      <c r="W184" s="76" t="s">
        <v>52</v>
      </c>
      <c r="X184" s="77"/>
      <c r="Y184" s="76" t="s">
        <v>53</v>
      </c>
      <c r="Z184" s="77"/>
    </row>
    <row r="185" ht="14.25" customHeight="1">
      <c r="H185" s="78" t="s">
        <v>54</v>
      </c>
      <c r="I185" s="79" t="str">
        <f t="shared" ref="I185:I186" si="3">#REF!</f>
        <v>#REF!</v>
      </c>
      <c r="J185" s="80" t="s">
        <v>55</v>
      </c>
      <c r="K185" s="81">
        <v>0.0</v>
      </c>
      <c r="M185" s="58" t="s">
        <v>56</v>
      </c>
      <c r="N185" s="27"/>
      <c r="O185" s="58" t="s">
        <v>57</v>
      </c>
      <c r="P185" s="27"/>
      <c r="Q185" s="58" t="s">
        <v>58</v>
      </c>
      <c r="R185" s="27"/>
      <c r="S185" s="58" t="s">
        <v>59</v>
      </c>
      <c r="T185" s="27"/>
      <c r="U185" s="58" t="s">
        <v>60</v>
      </c>
      <c r="V185" s="27"/>
      <c r="W185" s="82"/>
      <c r="X185" s="83"/>
      <c r="Y185" s="82"/>
      <c r="Z185" s="83"/>
    </row>
    <row r="186" ht="14.25" customHeight="1">
      <c r="H186" s="78" t="s">
        <v>61</v>
      </c>
      <c r="I186" s="79" t="str">
        <f t="shared" si="3"/>
        <v>#REF!</v>
      </c>
      <c r="J186" s="80" t="s">
        <v>62</v>
      </c>
      <c r="K186" s="81">
        <v>1.0</v>
      </c>
      <c r="M186" s="84" t="s">
        <v>63</v>
      </c>
      <c r="N186" s="85" t="s">
        <v>64</v>
      </c>
      <c r="O186" s="84" t="s">
        <v>63</v>
      </c>
      <c r="P186" s="85" t="s">
        <v>64</v>
      </c>
      <c r="Q186" s="84" t="s">
        <v>63</v>
      </c>
      <c r="R186" s="85" t="s">
        <v>64</v>
      </c>
      <c r="S186" s="84" t="s">
        <v>63</v>
      </c>
      <c r="T186" s="85" t="s">
        <v>64</v>
      </c>
      <c r="U186" s="84" t="s">
        <v>63</v>
      </c>
      <c r="V186" s="85" t="s">
        <v>64</v>
      </c>
      <c r="W186" s="86" t="s">
        <v>65</v>
      </c>
      <c r="X186" s="86" t="s">
        <v>66</v>
      </c>
      <c r="Y186" s="86" t="s">
        <v>67</v>
      </c>
      <c r="Z186" s="87" t="s">
        <v>68</v>
      </c>
    </row>
    <row r="187" ht="14.25" customHeight="1">
      <c r="H187" s="88"/>
      <c r="I187" s="89"/>
      <c r="J187" s="90" t="s">
        <v>69</v>
      </c>
      <c r="K187" s="91">
        <v>2.0</v>
      </c>
      <c r="M187" s="92">
        <f>K185</f>
        <v>0</v>
      </c>
      <c r="N187" s="93">
        <f>K186</f>
        <v>1</v>
      </c>
      <c r="O187" s="93">
        <f>K185</f>
        <v>0</v>
      </c>
      <c r="P187" s="93">
        <f>K186</f>
        <v>1</v>
      </c>
      <c r="Q187" s="93">
        <f>K185</f>
        <v>0</v>
      </c>
      <c r="R187" s="93">
        <f>K186</f>
        <v>1</v>
      </c>
      <c r="S187" s="93">
        <f>K185</f>
        <v>0</v>
      </c>
      <c r="T187" s="93">
        <f>K186</f>
        <v>1</v>
      </c>
      <c r="U187" s="93">
        <f>K185</f>
        <v>0</v>
      </c>
      <c r="V187" s="94">
        <f>K186</f>
        <v>1</v>
      </c>
      <c r="W187" s="95"/>
      <c r="X187" s="95"/>
      <c r="Y187" s="96"/>
      <c r="Z187" s="97"/>
    </row>
    <row r="188" ht="14.25" customHeight="1">
      <c r="H188" s="63" t="s">
        <v>70</v>
      </c>
      <c r="I188" s="63" t="s">
        <v>68</v>
      </c>
      <c r="M188" s="98">
        <f>M187+(M197-M187)/10</f>
        <v>0.1</v>
      </c>
      <c r="N188" s="61">
        <f>N187-(N187-N197)/10</f>
        <v>0.9</v>
      </c>
      <c r="O188" s="61">
        <f>(1 - POWER(0.9,K187)) * (K186-K185) + K185</f>
        <v>0.19</v>
      </c>
      <c r="P188" s="61">
        <f>(1 - POWER(0.1,K187)) * (K186-K185) + K185</f>
        <v>0.99</v>
      </c>
      <c r="Q188" s="61">
        <f>POWER(0.1,K187) * (K186-K185)+K185</f>
        <v>0.01</v>
      </c>
      <c r="R188" s="61">
        <f>POWER(0.9,K187) * (K186-K185)+K185</f>
        <v>0.81</v>
      </c>
      <c r="S188" s="61">
        <f>(1 / (1 + EXP(-K187*(-0.4)))) * (K186-K185) + K185</f>
        <v>0.3100255189</v>
      </c>
      <c r="T188" s="61">
        <f>(1 / (1 + EXP(-K187*(0.4)))) * (K186-K185) + K185</f>
        <v>0.6899744811</v>
      </c>
      <c r="U188" s="61">
        <f>(1 / (1 + EXP(-K187*(0.1))) - 0.5) * (K186-K185) + K185</f>
        <v>0.04983399731</v>
      </c>
      <c r="V188" s="99">
        <f>(1 / (1 + EXP(-K187*(-0.1))) + 0.5) * (K186-K185) + K185</f>
        <v>0.9501660027</v>
      </c>
      <c r="W188" s="100"/>
      <c r="X188" s="100"/>
      <c r="Y188" s="101"/>
      <c r="Z188" s="102"/>
    </row>
    <row r="189" ht="14.25" customHeight="1">
      <c r="H189" s="103" t="str">
        <f>I185</f>
        <v>#REF!</v>
      </c>
      <c r="I189" s="61">
        <f>OFFSET(L187,0,I184,1,1)</f>
        <v>0</v>
      </c>
      <c r="M189" s="98">
        <f>M188+(M197-M187)/10</f>
        <v>0.2</v>
      </c>
      <c r="N189" s="61">
        <f>N188-(N187-N197)/10</f>
        <v>0.8</v>
      </c>
      <c r="O189" s="61">
        <f>(1 - POWER(0.8,K187)) * (K186-K185) + K185</f>
        <v>0.36</v>
      </c>
      <c r="P189" s="61">
        <f>(1 - POWER(0.2,K187)) * (K186-K185) + K185</f>
        <v>0.96</v>
      </c>
      <c r="Q189" s="61">
        <f>POWER(0.2,K187) * (K186-K185)+K185</f>
        <v>0.04</v>
      </c>
      <c r="R189" s="61">
        <f>POWER(0.8,K187) * (K186-K185)+K185</f>
        <v>0.64</v>
      </c>
      <c r="S189" s="61">
        <f>(1 / (1 + EXP(-K187*(-0.3)))) * (K186-K185) + K185</f>
        <v>0.3543436938</v>
      </c>
      <c r="T189" s="61">
        <f>(1 / (1 + EXP(-K187*(0.3)))) * (K186-K185) + K185</f>
        <v>0.6456563062</v>
      </c>
      <c r="U189" s="61">
        <f>(1 / (1 + EXP(-K187*(0.2))) - 0.5) *  (K186-K185) + K185</f>
        <v>0.09868766011</v>
      </c>
      <c r="V189" s="99">
        <f>(1 / (1 + EXP(-K187*(-0.2))) + 0.5) * (K186-K185) + K185</f>
        <v>0.9013123399</v>
      </c>
      <c r="W189" s="100"/>
      <c r="X189" s="100"/>
      <c r="Y189" s="101"/>
      <c r="Z189" s="102"/>
    </row>
    <row r="190" ht="14.25" customHeight="1">
      <c r="H190" s="103" t="str">
        <f>H189+(I186-I185)/10</f>
        <v>#REF!</v>
      </c>
      <c r="I190" s="61">
        <f>OFFSET(L188,0,I184,1,1)</f>
        <v>0.1</v>
      </c>
      <c r="M190" s="98">
        <f>M189+(M197-M187)/10</f>
        <v>0.3</v>
      </c>
      <c r="N190" s="61">
        <f>N189-(N187-N197)/10</f>
        <v>0.7</v>
      </c>
      <c r="O190" s="61">
        <f>(1 - POWER(0.7,K187)) * (K186-K185) + K185</f>
        <v>0.51</v>
      </c>
      <c r="P190" s="61">
        <f>(1 - POWER(0.3,K187)) * (K186-K185) + K185</f>
        <v>0.91</v>
      </c>
      <c r="Q190" s="61">
        <f>POWER(0.3,K187) * (K186-K185)+K185</f>
        <v>0.09</v>
      </c>
      <c r="R190" s="61">
        <f>POWER(0.7,K187) * (K186-K185)+K185</f>
        <v>0.49</v>
      </c>
      <c r="S190" s="61">
        <f>(1 / (1 + EXP(-K187*(-0.2)))) * (K186-K185) + K185</f>
        <v>0.4013123399</v>
      </c>
      <c r="T190" s="61">
        <f>(1 / (1 + EXP(-K187*(0.2)))) * (K186-K185) + K185</f>
        <v>0.5986876601</v>
      </c>
      <c r="U190" s="61">
        <f>(1 / (1 + EXP(-K187*(0.3))) - 0.5) * (K186-K185) + K185</f>
        <v>0.1456563062</v>
      </c>
      <c r="V190" s="99">
        <f>(1 / (1 + EXP(-K187*(-0.3))) + 0.5) * (K186-K185) + K185</f>
        <v>0.8543436938</v>
      </c>
      <c r="W190" s="100"/>
      <c r="X190" s="100"/>
      <c r="Y190" s="101"/>
      <c r="Z190" s="102"/>
    </row>
    <row r="191" ht="14.25" customHeight="1">
      <c r="H191" s="103" t="str">
        <f>H190+(I186-I185)/10</f>
        <v>#REF!</v>
      </c>
      <c r="I191" s="61">
        <f>OFFSET(L189,0,I184,1,1)</f>
        <v>0.2</v>
      </c>
      <c r="M191" s="98">
        <f>M190+(M197-M187)/10</f>
        <v>0.4</v>
      </c>
      <c r="N191" s="61">
        <f>N190-(N187-N197)/10</f>
        <v>0.6</v>
      </c>
      <c r="O191" s="61">
        <f>(1 - POWER(0.6,K187)) * (K186-K185) + K185</f>
        <v>0.64</v>
      </c>
      <c r="P191" s="61">
        <f>(1 - POWER(0.4,K187)) * (K186-K185) + K185</f>
        <v>0.84</v>
      </c>
      <c r="Q191" s="61">
        <f>POWER(0.4,K187) * (K186-K185)+K185</f>
        <v>0.16</v>
      </c>
      <c r="R191" s="61">
        <f>POWER(0.6,K187) * (K186-K185)+K185</f>
        <v>0.36</v>
      </c>
      <c r="S191" s="61">
        <f>(1 / (1 + EXP(-K187*(-0.1)))) * (K186-K185) + K185</f>
        <v>0.4501660027</v>
      </c>
      <c r="T191" s="61">
        <f>(1 / (1 + EXP(-K187*(0.1)))) * (K186-K185) + K185</f>
        <v>0.5498339973</v>
      </c>
      <c r="U191" s="61">
        <f>(1 / (1 + EXP(-K187*(0.4))) - 0.5) * (K186-K185) + K185</f>
        <v>0.1899744811</v>
      </c>
      <c r="V191" s="99">
        <f>(1 / (1 + EXP(-K187*(-0.4))) + 0.5) * (K186-K185) + K185</f>
        <v>0.8100255189</v>
      </c>
      <c r="W191" s="100"/>
      <c r="X191" s="100"/>
      <c r="Y191" s="101"/>
      <c r="Z191" s="102"/>
    </row>
    <row r="192" ht="14.25" customHeight="1">
      <c r="H192" s="103" t="str">
        <f>H191+(I186-I185)/10</f>
        <v>#REF!</v>
      </c>
      <c r="I192" s="61">
        <f>OFFSET(L190,0,I184,1,1)</f>
        <v>0.3</v>
      </c>
      <c r="M192" s="98">
        <f>M191+(M197-M187)/10</f>
        <v>0.5</v>
      </c>
      <c r="N192" s="61">
        <f>N191-(N187-N197)/10</f>
        <v>0.5</v>
      </c>
      <c r="O192" s="61">
        <f>(1 - POWER(0.5,K187)) * (K186-K185) + K185</f>
        <v>0.75</v>
      </c>
      <c r="P192" s="61">
        <f>(1 - POWER(0.5,K187)) * (K186-K185) + K185</f>
        <v>0.75</v>
      </c>
      <c r="Q192" s="61">
        <f>POWER(0.5,K187) * (K186-K185)+K185</f>
        <v>0.25</v>
      </c>
      <c r="R192" s="61">
        <f>POWER(0.5,K187) * (K186-K185)+K185</f>
        <v>0.25</v>
      </c>
      <c r="S192" s="61">
        <f>(1 / (1 + EXP(-K187*(0)))) * (K186-K185) + K185</f>
        <v>0.5</v>
      </c>
      <c r="T192" s="61">
        <f>(1 / (1 + EXP(-K187*(0)))) * (K186-K185) + K185</f>
        <v>0.5</v>
      </c>
      <c r="U192" s="61">
        <f>(1 / (1 + EXP(-K187*(0.5))) - 0.5) * (K186-K185) + K185</f>
        <v>0.2310585786</v>
      </c>
      <c r="V192" s="99">
        <f>(1 / (1 + EXP(-K187*(0.5))) - 0.5) * (K186-K185) + K185</f>
        <v>0.2310585786</v>
      </c>
      <c r="W192" s="100"/>
      <c r="X192" s="100"/>
      <c r="Y192" s="101"/>
      <c r="Z192" s="102"/>
    </row>
    <row r="193" ht="14.25" customHeight="1">
      <c r="H193" s="103" t="str">
        <f>H192+(I186-I185)/10</f>
        <v>#REF!</v>
      </c>
      <c r="I193" s="61">
        <f>OFFSET(L191,0,I184,1,1)</f>
        <v>0.4</v>
      </c>
      <c r="M193" s="98">
        <f>M192+(M197-M187)/10</f>
        <v>0.6</v>
      </c>
      <c r="N193" s="61">
        <f>N192-(N187-N197)/10</f>
        <v>0.4</v>
      </c>
      <c r="O193" s="61">
        <f>(1 - POWER(0.4,K187)) * (K186-K185) + K185</f>
        <v>0.84</v>
      </c>
      <c r="P193" s="61">
        <f>(1 - POWER(0.6,K187)) * (K186-K185) + K185</f>
        <v>0.64</v>
      </c>
      <c r="Q193" s="61">
        <f>POWER(0.6,K187) * (K186-K185)+K185</f>
        <v>0.36</v>
      </c>
      <c r="R193" s="61">
        <f>POWER(0.4,K187) * (K186-K185)+K185</f>
        <v>0.16</v>
      </c>
      <c r="S193" s="61">
        <f>(1 / (1 + EXP(-K187*(0.1)))) * (K186-K185) + K185</f>
        <v>0.5498339973</v>
      </c>
      <c r="T193" s="61">
        <f>(1 / (1 + EXP(-K187*(-0.1)))) * (K186-K185) + K185</f>
        <v>0.4501660027</v>
      </c>
      <c r="U193" s="61">
        <f>(1 / (1 + EXP(-K187*(-0.4))) + 0.5) * (K186-K185) + K185</f>
        <v>0.8100255189</v>
      </c>
      <c r="V193" s="99">
        <f>(1 / (1 + EXP(-K187*(0.4))) - 0.5) * (K186-K185) + K185</f>
        <v>0.1899744811</v>
      </c>
      <c r="W193" s="100"/>
      <c r="X193" s="100"/>
      <c r="Y193" s="101"/>
      <c r="Z193" s="102"/>
    </row>
    <row r="194" ht="14.25" customHeight="1">
      <c r="H194" s="103" t="str">
        <f>H193+(I186-I185)/10</f>
        <v>#REF!</v>
      </c>
      <c r="I194" s="61">
        <f>OFFSET(L192,0,I184,1,1)</f>
        <v>0.5</v>
      </c>
      <c r="M194" s="98">
        <f>M193+(M197-M187)/10</f>
        <v>0.7</v>
      </c>
      <c r="N194" s="61">
        <f>N193-(N187-N197)/10</f>
        <v>0.3</v>
      </c>
      <c r="O194" s="61">
        <f>(1 - POWER(0.3,K187)) * (K186-K185) + K185</f>
        <v>0.91</v>
      </c>
      <c r="P194" s="61">
        <f>(1 - POWER(0.7,K187)) * (K186-K185) + K185</f>
        <v>0.51</v>
      </c>
      <c r="Q194" s="61">
        <f>POWER(0.7,K187) * (K186-K185)+K185</f>
        <v>0.49</v>
      </c>
      <c r="R194" s="61">
        <f>POWER(0.3,K187) * (K186-K185)+K185</f>
        <v>0.09</v>
      </c>
      <c r="S194" s="61">
        <f>(1 / (1 + EXP(-K187*(0.2)))) * (K186-K185) + K185</f>
        <v>0.5986876601</v>
      </c>
      <c r="T194" s="61">
        <f>(1 / (1 + EXP(-K187*(-0.2)))) * (K186-K185) + K185</f>
        <v>0.4013123399</v>
      </c>
      <c r="U194" s="61">
        <f>(1 / (1 + EXP(-K187*(-0.3))) + 0.5) * (K186-K185) + K185</f>
        <v>0.8543436938</v>
      </c>
      <c r="V194" s="99">
        <f>(1 / (1 + EXP(-K187*(0.3))) - 0.5) * (K186-K185) + K185</f>
        <v>0.1456563062</v>
      </c>
      <c r="W194" s="100"/>
      <c r="X194" s="100"/>
      <c r="Y194" s="101"/>
      <c r="Z194" s="102"/>
    </row>
    <row r="195" ht="14.25" customHeight="1">
      <c r="H195" s="103" t="str">
        <f>H194+(I186-I185)/10</f>
        <v>#REF!</v>
      </c>
      <c r="I195" s="61">
        <f>OFFSET(L193,0,I184,1,1)</f>
        <v>0.6</v>
      </c>
      <c r="M195" s="98">
        <f>M194+(M197-M187)/10</f>
        <v>0.8</v>
      </c>
      <c r="N195" s="61">
        <f>N194-(N187-N197)/10</f>
        <v>0.2</v>
      </c>
      <c r="O195" s="61">
        <f>(1 - POWER(0.2,K187)) * (K186-K185) + K185</f>
        <v>0.96</v>
      </c>
      <c r="P195" s="61">
        <f>(1 - POWER(0.8,K187)) * (K186-K185) + K185</f>
        <v>0.36</v>
      </c>
      <c r="Q195" s="61">
        <f>POWER(0.8,K187) * (K186-K185)+K185</f>
        <v>0.64</v>
      </c>
      <c r="R195" s="61">
        <f>POWER(0.2,K187) * (K186-K185)+K185</f>
        <v>0.04</v>
      </c>
      <c r="S195" s="61">
        <f>(1 / (1 + EXP(-K187*(0.3)))) * (K186-K185) + K185</f>
        <v>0.6456563062</v>
      </c>
      <c r="T195" s="61">
        <f>(1 / (1 + EXP(-K187*(-0.3)))) * (K186-K185) + K185</f>
        <v>0.3543436938</v>
      </c>
      <c r="U195" s="61">
        <f>(1 / (1 + EXP(-K187*(-0.2))) + 0.5) * (K186-K185) + K185</f>
        <v>0.9013123399</v>
      </c>
      <c r="V195" s="99">
        <f>(1 / (1 + EXP(-K187*(0.2))) - 0.5) *  (K186-K185) + K185</f>
        <v>0.09868766011</v>
      </c>
      <c r="W195" s="100"/>
      <c r="X195" s="100"/>
      <c r="Y195" s="101"/>
      <c r="Z195" s="102"/>
    </row>
    <row r="196" ht="14.25" customHeight="1">
      <c r="H196" s="103" t="str">
        <f>H195+(I186-I185)/10</f>
        <v>#REF!</v>
      </c>
      <c r="I196" s="61">
        <f>OFFSET(L194,0,I184,1,1)</f>
        <v>0.7</v>
      </c>
      <c r="M196" s="98">
        <f>M195+(M197-M187)/10</f>
        <v>0.9</v>
      </c>
      <c r="N196" s="61">
        <f>N195-(N187-N197)/10</f>
        <v>0.1</v>
      </c>
      <c r="O196" s="61">
        <f>(1 - POWER(0.1,K187)) * (K186-K185) + K185</f>
        <v>0.99</v>
      </c>
      <c r="P196" s="61">
        <f>(1 - POWER(0.9,K187)) * (K186-K185) + K185</f>
        <v>0.19</v>
      </c>
      <c r="Q196" s="61">
        <f>POWER(0.9,K187) * (K186-K185)+K185</f>
        <v>0.81</v>
      </c>
      <c r="R196" s="61">
        <f>POWER(0.1,K187) * (K186-K185)+K185</f>
        <v>0.01</v>
      </c>
      <c r="S196" s="61">
        <f>(1 / (1 + EXP(-K187*(0.4)))) * (K186-K185) + K185</f>
        <v>0.6899744811</v>
      </c>
      <c r="T196" s="61">
        <f>(1 / (1 + EXP(-K187*(-0.4)))) * (K186-K185) + K185</f>
        <v>0.3100255189</v>
      </c>
      <c r="U196" s="61">
        <f>(1 / (1 + EXP(-K187*(-0.1))) + 0.5) * (K186-K185) + K185</f>
        <v>0.9501660027</v>
      </c>
      <c r="V196" s="99">
        <f>(1 / (1 + EXP(-K187*(0.1))) - 0.5) * (K186-K185) + K185</f>
        <v>0.04983399731</v>
      </c>
      <c r="W196" s="100"/>
      <c r="X196" s="100"/>
      <c r="Y196" s="101"/>
      <c r="Z196" s="102"/>
    </row>
    <row r="197" ht="14.25" customHeight="1">
      <c r="H197" s="103" t="str">
        <f>H196+(I186-I185)/10</f>
        <v>#REF!</v>
      </c>
      <c r="I197" s="61">
        <f>OFFSET(L195,0,I184,1,1)</f>
        <v>0.8</v>
      </c>
      <c r="M197" s="104">
        <f>K186</f>
        <v>1</v>
      </c>
      <c r="N197" s="105">
        <f>K185</f>
        <v>0</v>
      </c>
      <c r="O197" s="105">
        <f>K186</f>
        <v>1</v>
      </c>
      <c r="P197" s="105">
        <f>K185</f>
        <v>0</v>
      </c>
      <c r="Q197" s="105">
        <f>K186</f>
        <v>1</v>
      </c>
      <c r="R197" s="105">
        <f>K185</f>
        <v>0</v>
      </c>
      <c r="S197" s="105">
        <f>K186</f>
        <v>1</v>
      </c>
      <c r="T197" s="105">
        <f>K185</f>
        <v>0</v>
      </c>
      <c r="U197" s="105">
        <f>K186</f>
        <v>1</v>
      </c>
      <c r="V197" s="106">
        <f>K185</f>
        <v>0</v>
      </c>
      <c r="W197" s="107"/>
      <c r="X197" s="107"/>
      <c r="Y197" s="108"/>
      <c r="Z197" s="109"/>
    </row>
    <row r="198" ht="14.25" customHeight="1">
      <c r="H198" s="103" t="str">
        <f>H197+(I186-I185)/10</f>
        <v>#REF!</v>
      </c>
      <c r="I198" s="61">
        <f>OFFSET(L196,0,I184,1,1)</f>
        <v>0.9</v>
      </c>
    </row>
    <row r="199" ht="14.25" customHeight="1">
      <c r="H199" s="103" t="str">
        <f>I186</f>
        <v>#REF!</v>
      </c>
      <c r="I199" s="61">
        <f>OFFSET(L197,0,I184,1,1)</f>
        <v>1</v>
      </c>
    </row>
    <row r="200" ht="14.25" customHeight="1">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ht="14.25" customHeight="1"/>
    <row r="202" ht="14.25" customHeight="1">
      <c r="H202" s="72" t="s">
        <v>50</v>
      </c>
      <c r="I202" s="73">
        <v>1.0</v>
      </c>
      <c r="J202" s="73"/>
      <c r="K202" s="74"/>
      <c r="M202" s="75" t="s">
        <v>51</v>
      </c>
      <c r="N202" s="54"/>
      <c r="O202" s="54"/>
      <c r="P202" s="54"/>
      <c r="Q202" s="54"/>
      <c r="R202" s="54"/>
      <c r="S202" s="54"/>
      <c r="T202" s="54"/>
      <c r="U202" s="54"/>
      <c r="V202" s="55"/>
      <c r="W202" s="76" t="s">
        <v>52</v>
      </c>
      <c r="X202" s="77"/>
      <c r="Y202" s="76" t="s">
        <v>53</v>
      </c>
      <c r="Z202" s="77"/>
    </row>
    <row r="203" ht="14.25" customHeight="1">
      <c r="H203" s="78" t="s">
        <v>54</v>
      </c>
      <c r="I203" s="79" t="str">
        <f t="shared" ref="I203:I204" si="4">#REF!</f>
        <v>#REF!</v>
      </c>
      <c r="J203" s="80" t="s">
        <v>55</v>
      </c>
      <c r="K203" s="81">
        <v>0.0</v>
      </c>
      <c r="M203" s="58" t="s">
        <v>56</v>
      </c>
      <c r="N203" s="27"/>
      <c r="O203" s="58" t="s">
        <v>57</v>
      </c>
      <c r="P203" s="27"/>
      <c r="Q203" s="58" t="s">
        <v>58</v>
      </c>
      <c r="R203" s="27"/>
      <c r="S203" s="58" t="s">
        <v>59</v>
      </c>
      <c r="T203" s="27"/>
      <c r="U203" s="58" t="s">
        <v>60</v>
      </c>
      <c r="V203" s="27"/>
      <c r="W203" s="82"/>
      <c r="X203" s="83"/>
      <c r="Y203" s="82"/>
      <c r="Z203" s="83"/>
    </row>
    <row r="204" ht="14.25" customHeight="1">
      <c r="H204" s="78" t="s">
        <v>61</v>
      </c>
      <c r="I204" s="79" t="str">
        <f t="shared" si="4"/>
        <v>#REF!</v>
      </c>
      <c r="J204" s="80" t="s">
        <v>62</v>
      </c>
      <c r="K204" s="81">
        <v>1.0</v>
      </c>
      <c r="M204" s="84" t="s">
        <v>63</v>
      </c>
      <c r="N204" s="85" t="s">
        <v>64</v>
      </c>
      <c r="O204" s="84" t="s">
        <v>63</v>
      </c>
      <c r="P204" s="85" t="s">
        <v>64</v>
      </c>
      <c r="Q204" s="84" t="s">
        <v>63</v>
      </c>
      <c r="R204" s="85" t="s">
        <v>64</v>
      </c>
      <c r="S204" s="84" t="s">
        <v>63</v>
      </c>
      <c r="T204" s="85" t="s">
        <v>64</v>
      </c>
      <c r="U204" s="84" t="s">
        <v>63</v>
      </c>
      <c r="V204" s="85" t="s">
        <v>64</v>
      </c>
      <c r="W204" s="86" t="s">
        <v>65</v>
      </c>
      <c r="X204" s="86" t="s">
        <v>66</v>
      </c>
      <c r="Y204" s="86" t="s">
        <v>67</v>
      </c>
      <c r="Z204" s="87" t="s">
        <v>68</v>
      </c>
    </row>
    <row r="205" ht="14.25" customHeight="1">
      <c r="H205" s="88"/>
      <c r="I205" s="89"/>
      <c r="J205" s="90" t="s">
        <v>69</v>
      </c>
      <c r="K205" s="91">
        <v>2.0</v>
      </c>
      <c r="M205" s="92">
        <f>K203</f>
        <v>0</v>
      </c>
      <c r="N205" s="93">
        <f>K204</f>
        <v>1</v>
      </c>
      <c r="O205" s="93">
        <f>K203</f>
        <v>0</v>
      </c>
      <c r="P205" s="93">
        <f>K204</f>
        <v>1</v>
      </c>
      <c r="Q205" s="93">
        <f>K203</f>
        <v>0</v>
      </c>
      <c r="R205" s="93">
        <f>K204</f>
        <v>1</v>
      </c>
      <c r="S205" s="93">
        <f>K203</f>
        <v>0</v>
      </c>
      <c r="T205" s="93">
        <f>K204</f>
        <v>1</v>
      </c>
      <c r="U205" s="93">
        <f>K203</f>
        <v>0</v>
      </c>
      <c r="V205" s="94">
        <f>K204</f>
        <v>1</v>
      </c>
      <c r="W205" s="95"/>
      <c r="X205" s="95"/>
      <c r="Y205" s="96"/>
      <c r="Z205" s="97"/>
    </row>
    <row r="206" ht="14.25" customHeight="1">
      <c r="H206" s="63" t="s">
        <v>70</v>
      </c>
      <c r="I206" s="63" t="s">
        <v>68</v>
      </c>
      <c r="M206" s="98">
        <f>M205+(M215-M205)/10</f>
        <v>0.1</v>
      </c>
      <c r="N206" s="61">
        <f>N205-(N205-N215)/10</f>
        <v>0.9</v>
      </c>
      <c r="O206" s="61">
        <f>(1 - POWER(0.9,K205)) * (K204-K203) + K203</f>
        <v>0.19</v>
      </c>
      <c r="P206" s="61">
        <f>(1 - POWER(0.1,K205)) * (K204-K203) + K203</f>
        <v>0.99</v>
      </c>
      <c r="Q206" s="61">
        <f>POWER(0.1,K205) * (K204-K203)+K203</f>
        <v>0.01</v>
      </c>
      <c r="R206" s="61">
        <f>POWER(0.9,K205) * (K204-K203)+K203</f>
        <v>0.81</v>
      </c>
      <c r="S206" s="61">
        <f>(1 / (1 + EXP(-K205*(-0.4)))) * (K204-K203) + K203</f>
        <v>0.3100255189</v>
      </c>
      <c r="T206" s="61">
        <f>(1 / (1 + EXP(-K205*(0.4)))) * (K204-K203) + K203</f>
        <v>0.6899744811</v>
      </c>
      <c r="U206" s="61">
        <f>(1 / (1 + EXP(-K205*(0.1))) - 0.5) * (K204-K203) + K203</f>
        <v>0.04983399731</v>
      </c>
      <c r="V206" s="99">
        <f>(1 / (1 + EXP(-K205*(-0.1))) + 0.5) * (K204-K203) + K203</f>
        <v>0.9501660027</v>
      </c>
      <c r="W206" s="100"/>
      <c r="X206" s="100"/>
      <c r="Y206" s="101"/>
      <c r="Z206" s="102"/>
    </row>
    <row r="207" ht="14.25" customHeight="1">
      <c r="H207" s="103" t="str">
        <f>I203</f>
        <v>#REF!</v>
      </c>
      <c r="I207" s="61">
        <f>OFFSET(L205,0,I202,1,1)</f>
        <v>0</v>
      </c>
      <c r="M207" s="98">
        <f>M206+(M215-M205)/10</f>
        <v>0.2</v>
      </c>
      <c r="N207" s="61">
        <f>N206-(N205-N215)/10</f>
        <v>0.8</v>
      </c>
      <c r="O207" s="61">
        <f>(1 - POWER(0.8,K205)) * (K204-K203) + K203</f>
        <v>0.36</v>
      </c>
      <c r="P207" s="61">
        <f>(1 - POWER(0.2,K205)) * (K204-K203) + K203</f>
        <v>0.96</v>
      </c>
      <c r="Q207" s="61">
        <f>POWER(0.2,K205) * (K204-K203)+K203</f>
        <v>0.04</v>
      </c>
      <c r="R207" s="61">
        <f>POWER(0.8,K205) * (K204-K203)+K203</f>
        <v>0.64</v>
      </c>
      <c r="S207" s="61">
        <f>(1 / (1 + EXP(-K205*(-0.3)))) * (K204-K203) + K203</f>
        <v>0.3543436938</v>
      </c>
      <c r="T207" s="61">
        <f>(1 / (1 + EXP(-K205*(0.3)))) * (K204-K203) + K203</f>
        <v>0.6456563062</v>
      </c>
      <c r="U207" s="61">
        <f>(1 / (1 + EXP(-K205*(0.2))) - 0.5) *  (K204-K203) + K203</f>
        <v>0.09868766011</v>
      </c>
      <c r="V207" s="99">
        <f>(1 / (1 + EXP(-K205*(-0.2))) + 0.5) * (K204-K203) + K203</f>
        <v>0.9013123399</v>
      </c>
      <c r="W207" s="100"/>
      <c r="X207" s="100"/>
      <c r="Y207" s="101"/>
      <c r="Z207" s="102"/>
    </row>
    <row r="208" ht="14.25" customHeight="1">
      <c r="H208" s="103" t="str">
        <f>H207+(I204-I203)/10</f>
        <v>#REF!</v>
      </c>
      <c r="I208" s="61">
        <f>OFFSET(L206,0,I202,1,1)</f>
        <v>0.1</v>
      </c>
      <c r="M208" s="98">
        <f>M207+(M215-M205)/10</f>
        <v>0.3</v>
      </c>
      <c r="N208" s="61">
        <f>N207-(N205-N215)/10</f>
        <v>0.7</v>
      </c>
      <c r="O208" s="61">
        <f>(1 - POWER(0.7,K205)) * (K204-K203) + K203</f>
        <v>0.51</v>
      </c>
      <c r="P208" s="61">
        <f>(1 - POWER(0.3,K205)) * (K204-K203) + K203</f>
        <v>0.91</v>
      </c>
      <c r="Q208" s="61">
        <f>POWER(0.3,K205) * (K204-K203)+K203</f>
        <v>0.09</v>
      </c>
      <c r="R208" s="61">
        <f>POWER(0.7,K205) * (K204-K203)+K203</f>
        <v>0.49</v>
      </c>
      <c r="S208" s="61">
        <f>(1 / (1 + EXP(-K205*(-0.2)))) * (K204-K203) + K203</f>
        <v>0.4013123399</v>
      </c>
      <c r="T208" s="61">
        <f>(1 / (1 + EXP(-K205*(0.2)))) * (K204-K203) + K203</f>
        <v>0.5986876601</v>
      </c>
      <c r="U208" s="61">
        <f>(1 / (1 + EXP(-K205*(0.3))) - 0.5) * (K204-K203) + K203</f>
        <v>0.1456563062</v>
      </c>
      <c r="V208" s="99">
        <f>(1 / (1 + EXP(-K205*(-0.3))) + 0.5) * (K204-K203) + K203</f>
        <v>0.8543436938</v>
      </c>
      <c r="W208" s="100"/>
      <c r="X208" s="100"/>
      <c r="Y208" s="101"/>
      <c r="Z208" s="102"/>
    </row>
    <row r="209" ht="14.25" customHeight="1">
      <c r="H209" s="103" t="str">
        <f>H208+(I204-I203)/10</f>
        <v>#REF!</v>
      </c>
      <c r="I209" s="61">
        <f>OFFSET(L207,0,I202,1,1)</f>
        <v>0.2</v>
      </c>
      <c r="M209" s="98">
        <f>M208+(M215-M205)/10</f>
        <v>0.4</v>
      </c>
      <c r="N209" s="61">
        <f>N208-(N205-N215)/10</f>
        <v>0.6</v>
      </c>
      <c r="O209" s="61">
        <f>(1 - POWER(0.6,K205)) * (K204-K203) + K203</f>
        <v>0.64</v>
      </c>
      <c r="P209" s="61">
        <f>(1 - POWER(0.4,K205)) * (K204-K203) + K203</f>
        <v>0.84</v>
      </c>
      <c r="Q209" s="61">
        <f>POWER(0.4,K205) * (K204-K203)+K203</f>
        <v>0.16</v>
      </c>
      <c r="R209" s="61">
        <f>POWER(0.6,K205) * (K204-K203)+K203</f>
        <v>0.36</v>
      </c>
      <c r="S209" s="61">
        <f>(1 / (1 + EXP(-K205*(-0.1)))) * (K204-K203) + K203</f>
        <v>0.4501660027</v>
      </c>
      <c r="T209" s="61">
        <f>(1 / (1 + EXP(-K205*(0.1)))) * (K204-K203) + K203</f>
        <v>0.5498339973</v>
      </c>
      <c r="U209" s="61">
        <f>(1 / (1 + EXP(-K205*(0.4))) - 0.5) * (K204-K203) + K203</f>
        <v>0.1899744811</v>
      </c>
      <c r="V209" s="99">
        <f>(1 / (1 + EXP(-K205*(-0.4))) + 0.5) * (K204-K203) + K203</f>
        <v>0.8100255189</v>
      </c>
      <c r="W209" s="100"/>
      <c r="X209" s="100"/>
      <c r="Y209" s="101"/>
      <c r="Z209" s="102"/>
    </row>
    <row r="210" ht="14.25" customHeight="1">
      <c r="H210" s="103" t="str">
        <f>H209+(I204-I203)/10</f>
        <v>#REF!</v>
      </c>
      <c r="I210" s="61">
        <f>OFFSET(L208,0,I202,1,1)</f>
        <v>0.3</v>
      </c>
      <c r="M210" s="98">
        <f>M209+(M215-M205)/10</f>
        <v>0.5</v>
      </c>
      <c r="N210" s="61">
        <f>N209-(N205-N215)/10</f>
        <v>0.5</v>
      </c>
      <c r="O210" s="61">
        <f>(1 - POWER(0.5,K205)) * (K204-K203) + K203</f>
        <v>0.75</v>
      </c>
      <c r="P210" s="61">
        <f>(1 - POWER(0.5,K205)) * (K204-K203) + K203</f>
        <v>0.75</v>
      </c>
      <c r="Q210" s="61">
        <f>POWER(0.5,K205) * (K204-K203)+K203</f>
        <v>0.25</v>
      </c>
      <c r="R210" s="61">
        <f>POWER(0.5,K205) * (K204-K203)+K203</f>
        <v>0.25</v>
      </c>
      <c r="S210" s="61">
        <f>(1 / (1 + EXP(-K205*(0)))) * (K204-K203) + K203</f>
        <v>0.5</v>
      </c>
      <c r="T210" s="61">
        <f>(1 / (1 + EXP(-K205*(0)))) * (K204-K203) + K203</f>
        <v>0.5</v>
      </c>
      <c r="U210" s="61">
        <f>(1 / (1 + EXP(-K205*(0.5))) - 0.5) * (K204-K203) + K203</f>
        <v>0.2310585786</v>
      </c>
      <c r="V210" s="99">
        <f>(1 / (1 + EXP(-K205*(0.5))) - 0.5) * (K204-K203) + K203</f>
        <v>0.2310585786</v>
      </c>
      <c r="W210" s="100"/>
      <c r="X210" s="100"/>
      <c r="Y210" s="101"/>
      <c r="Z210" s="102"/>
    </row>
    <row r="211" ht="14.25" customHeight="1">
      <c r="H211" s="103" t="str">
        <f>H210+(I204-I203)/10</f>
        <v>#REF!</v>
      </c>
      <c r="I211" s="61">
        <f>OFFSET(L209,0,I202,1,1)</f>
        <v>0.4</v>
      </c>
      <c r="M211" s="98">
        <f>M210+(M215-M205)/10</f>
        <v>0.6</v>
      </c>
      <c r="N211" s="61">
        <f>N210-(N205-N215)/10</f>
        <v>0.4</v>
      </c>
      <c r="O211" s="61">
        <f>(1 - POWER(0.4,K205)) * (K204-K203) + K203</f>
        <v>0.84</v>
      </c>
      <c r="P211" s="61">
        <f>(1 - POWER(0.6,K205)) * (K204-K203) + K203</f>
        <v>0.64</v>
      </c>
      <c r="Q211" s="61">
        <f>POWER(0.6,K205) * (K204-K203)+K203</f>
        <v>0.36</v>
      </c>
      <c r="R211" s="61">
        <f>POWER(0.4,K205) * (K204-K203)+K203</f>
        <v>0.16</v>
      </c>
      <c r="S211" s="61">
        <f>(1 / (1 + EXP(-K205*(0.1)))) * (K204-K203) + K203</f>
        <v>0.5498339973</v>
      </c>
      <c r="T211" s="61">
        <f>(1 / (1 + EXP(-K205*(-0.1)))) * (K204-K203) + K203</f>
        <v>0.4501660027</v>
      </c>
      <c r="U211" s="61">
        <f>(1 / (1 + EXP(-K205*(-0.4))) + 0.5) * (K204-K203) + K203</f>
        <v>0.8100255189</v>
      </c>
      <c r="V211" s="99">
        <f>(1 / (1 + EXP(-K205*(0.4))) - 0.5) * (K204-K203) + K203</f>
        <v>0.1899744811</v>
      </c>
      <c r="W211" s="100"/>
      <c r="X211" s="100"/>
      <c r="Y211" s="101"/>
      <c r="Z211" s="102"/>
    </row>
    <row r="212" ht="14.25" customHeight="1">
      <c r="H212" s="103" t="str">
        <f>H211+(I204-I203)/10</f>
        <v>#REF!</v>
      </c>
      <c r="I212" s="61">
        <f>OFFSET(L210,0,I202,1,1)</f>
        <v>0.5</v>
      </c>
      <c r="M212" s="98">
        <f>M211+(M215-M205)/10</f>
        <v>0.7</v>
      </c>
      <c r="N212" s="61">
        <f>N211-(N205-N215)/10</f>
        <v>0.3</v>
      </c>
      <c r="O212" s="61">
        <f>(1 - POWER(0.3,K205)) * (K204-K203) + K203</f>
        <v>0.91</v>
      </c>
      <c r="P212" s="61">
        <f>(1 - POWER(0.7,K205)) * (K204-K203) + K203</f>
        <v>0.51</v>
      </c>
      <c r="Q212" s="61">
        <f>POWER(0.7,K205) * (K204-K203)+K203</f>
        <v>0.49</v>
      </c>
      <c r="R212" s="61">
        <f>POWER(0.3,K205) * (K204-K203)+K203</f>
        <v>0.09</v>
      </c>
      <c r="S212" s="61">
        <f>(1 / (1 + EXP(-K205*(0.2)))) * (K204-K203) + K203</f>
        <v>0.5986876601</v>
      </c>
      <c r="T212" s="61">
        <f>(1 / (1 + EXP(-K205*(-0.2)))) * (K204-K203) + K203</f>
        <v>0.4013123399</v>
      </c>
      <c r="U212" s="61">
        <f>(1 / (1 + EXP(-K205*(-0.3))) + 0.5) * (K204-K203) + K203</f>
        <v>0.8543436938</v>
      </c>
      <c r="V212" s="99">
        <f>(1 / (1 + EXP(-K205*(0.3))) - 0.5) * (K204-K203) + K203</f>
        <v>0.1456563062</v>
      </c>
      <c r="W212" s="100"/>
      <c r="X212" s="100"/>
      <c r="Y212" s="101"/>
      <c r="Z212" s="102"/>
    </row>
    <row r="213" ht="14.25" customHeight="1">
      <c r="H213" s="103" t="str">
        <f>H212+(I204-I203)/10</f>
        <v>#REF!</v>
      </c>
      <c r="I213" s="61">
        <f>OFFSET(L211,0,I202,1,1)</f>
        <v>0.6</v>
      </c>
      <c r="M213" s="98">
        <f>M212+(M215-M205)/10</f>
        <v>0.8</v>
      </c>
      <c r="N213" s="61">
        <f>N212-(N205-N215)/10</f>
        <v>0.2</v>
      </c>
      <c r="O213" s="61">
        <f>(1 - POWER(0.2,K205)) * (K204-K203) + K203</f>
        <v>0.96</v>
      </c>
      <c r="P213" s="61">
        <f>(1 - POWER(0.8,K205)) * (K204-K203) + K203</f>
        <v>0.36</v>
      </c>
      <c r="Q213" s="61">
        <f>POWER(0.8,K205) * (K204-K203)+K203</f>
        <v>0.64</v>
      </c>
      <c r="R213" s="61">
        <f>POWER(0.2,K205) * (K204-K203)+K203</f>
        <v>0.04</v>
      </c>
      <c r="S213" s="61">
        <f>(1 / (1 + EXP(-K205*(0.3)))) * (K204-K203) + K203</f>
        <v>0.6456563062</v>
      </c>
      <c r="T213" s="61">
        <f>(1 / (1 + EXP(-K205*(-0.3)))) * (K204-K203) + K203</f>
        <v>0.3543436938</v>
      </c>
      <c r="U213" s="61">
        <f>(1 / (1 + EXP(-K205*(-0.2))) + 0.5) * (K204-K203) + K203</f>
        <v>0.9013123399</v>
      </c>
      <c r="V213" s="99">
        <f>(1 / (1 + EXP(-K205*(0.2))) - 0.5) *  (K204-K203) + K203</f>
        <v>0.09868766011</v>
      </c>
      <c r="W213" s="100"/>
      <c r="X213" s="100"/>
      <c r="Y213" s="101"/>
      <c r="Z213" s="102"/>
    </row>
    <row r="214" ht="14.25" customHeight="1">
      <c r="H214" s="103" t="str">
        <f>H213+(I204-I203)/10</f>
        <v>#REF!</v>
      </c>
      <c r="I214" s="61">
        <f>OFFSET(L212,0,I202,1,1)</f>
        <v>0.7</v>
      </c>
      <c r="M214" s="98">
        <f>M213+(M215-M205)/10</f>
        <v>0.9</v>
      </c>
      <c r="N214" s="61">
        <f>N213-(N205-N215)/10</f>
        <v>0.1</v>
      </c>
      <c r="O214" s="61">
        <f>(1 - POWER(0.1,K205)) * (K204-K203) + K203</f>
        <v>0.99</v>
      </c>
      <c r="P214" s="61">
        <f>(1 - POWER(0.9,K205)) * (K204-K203) + K203</f>
        <v>0.19</v>
      </c>
      <c r="Q214" s="61">
        <f>POWER(0.9,K205) * (K204-K203)+K203</f>
        <v>0.81</v>
      </c>
      <c r="R214" s="61">
        <f>POWER(0.1,K205) * (K204-K203)+K203</f>
        <v>0.01</v>
      </c>
      <c r="S214" s="61">
        <f>(1 / (1 + EXP(-K205*(0.4)))) * (K204-K203) + K203</f>
        <v>0.6899744811</v>
      </c>
      <c r="T214" s="61">
        <f>(1 / (1 + EXP(-K205*(-0.4)))) * (K204-K203) + K203</f>
        <v>0.3100255189</v>
      </c>
      <c r="U214" s="61">
        <f>(1 / (1 + EXP(-K205*(-0.1))) + 0.5) * (K204-K203) + K203</f>
        <v>0.9501660027</v>
      </c>
      <c r="V214" s="99">
        <f>(1 / (1 + EXP(-K205*(0.1))) - 0.5) * (K204-K203) + K203</f>
        <v>0.04983399731</v>
      </c>
      <c r="W214" s="100"/>
      <c r="X214" s="100"/>
      <c r="Y214" s="101"/>
      <c r="Z214" s="102"/>
    </row>
    <row r="215" ht="14.25" customHeight="1">
      <c r="H215" s="103" t="str">
        <f>H214+(I204-I203)/10</f>
        <v>#REF!</v>
      </c>
      <c r="I215" s="61">
        <f>OFFSET(L213,0,I202,1,1)</f>
        <v>0.8</v>
      </c>
      <c r="M215" s="104">
        <f>K204</f>
        <v>1</v>
      </c>
      <c r="N215" s="105">
        <f>K203</f>
        <v>0</v>
      </c>
      <c r="O215" s="105">
        <f>K204</f>
        <v>1</v>
      </c>
      <c r="P215" s="105">
        <f>K203</f>
        <v>0</v>
      </c>
      <c r="Q215" s="105">
        <f>K204</f>
        <v>1</v>
      </c>
      <c r="R215" s="105">
        <f>K203</f>
        <v>0</v>
      </c>
      <c r="S215" s="105">
        <f>K204</f>
        <v>1</v>
      </c>
      <c r="T215" s="105">
        <f>K203</f>
        <v>0</v>
      </c>
      <c r="U215" s="105">
        <f>K204</f>
        <v>1</v>
      </c>
      <c r="V215" s="106">
        <f>K203</f>
        <v>0</v>
      </c>
      <c r="W215" s="107"/>
      <c r="X215" s="107"/>
      <c r="Y215" s="108"/>
      <c r="Z215" s="109"/>
    </row>
    <row r="216" ht="14.25" customHeight="1">
      <c r="H216" s="103" t="str">
        <f>H215+(I204-I203)/10</f>
        <v>#REF!</v>
      </c>
      <c r="I216" s="61">
        <f>OFFSET(L214,0,I202,1,1)</f>
        <v>0.9</v>
      </c>
    </row>
    <row r="217" ht="14.25" customHeight="1">
      <c r="H217" s="103" t="str">
        <f>I204</f>
        <v>#REF!</v>
      </c>
      <c r="I217" s="61">
        <f>OFFSET(L215,0,I202,1,1)</f>
        <v>1</v>
      </c>
    </row>
    <row r="218" ht="14.25" customHeight="1">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ht="14.25" customHeight="1"/>
    <row r="220" ht="14.25" customHeight="1">
      <c r="H220" s="72" t="s">
        <v>50</v>
      </c>
      <c r="I220" s="73">
        <v>1.0</v>
      </c>
      <c r="J220" s="73"/>
      <c r="K220" s="74"/>
      <c r="M220" s="75" t="s">
        <v>51</v>
      </c>
      <c r="N220" s="54"/>
      <c r="O220" s="54"/>
      <c r="P220" s="54"/>
      <c r="Q220" s="54"/>
      <c r="R220" s="54"/>
      <c r="S220" s="54"/>
      <c r="T220" s="54"/>
      <c r="U220" s="54"/>
      <c r="V220" s="55"/>
      <c r="W220" s="76" t="s">
        <v>52</v>
      </c>
      <c r="X220" s="77"/>
      <c r="Y220" s="76" t="s">
        <v>53</v>
      </c>
      <c r="Z220" s="77"/>
    </row>
    <row r="221" ht="14.25" customHeight="1">
      <c r="H221" s="78" t="s">
        <v>54</v>
      </c>
      <c r="I221" s="79" t="str">
        <f t="shared" ref="I221:I222" si="5">#REF!</f>
        <v>#REF!</v>
      </c>
      <c r="J221" s="80" t="s">
        <v>55</v>
      </c>
      <c r="K221" s="81">
        <v>0.0</v>
      </c>
      <c r="M221" s="58" t="s">
        <v>56</v>
      </c>
      <c r="N221" s="27"/>
      <c r="O221" s="58" t="s">
        <v>57</v>
      </c>
      <c r="P221" s="27"/>
      <c r="Q221" s="58" t="s">
        <v>58</v>
      </c>
      <c r="R221" s="27"/>
      <c r="S221" s="58" t="s">
        <v>59</v>
      </c>
      <c r="T221" s="27"/>
      <c r="U221" s="58" t="s">
        <v>60</v>
      </c>
      <c r="V221" s="27"/>
      <c r="W221" s="82"/>
      <c r="X221" s="83"/>
      <c r="Y221" s="82"/>
      <c r="Z221" s="83"/>
    </row>
    <row r="222" ht="14.25" customHeight="1">
      <c r="H222" s="78" t="s">
        <v>61</v>
      </c>
      <c r="I222" s="79" t="str">
        <f t="shared" si="5"/>
        <v>#REF!</v>
      </c>
      <c r="J222" s="80" t="s">
        <v>62</v>
      </c>
      <c r="K222" s="81">
        <v>1.0</v>
      </c>
      <c r="M222" s="84" t="s">
        <v>63</v>
      </c>
      <c r="N222" s="85" t="s">
        <v>64</v>
      </c>
      <c r="O222" s="84" t="s">
        <v>63</v>
      </c>
      <c r="P222" s="85" t="s">
        <v>64</v>
      </c>
      <c r="Q222" s="84" t="s">
        <v>63</v>
      </c>
      <c r="R222" s="85" t="s">
        <v>64</v>
      </c>
      <c r="S222" s="84" t="s">
        <v>63</v>
      </c>
      <c r="T222" s="85" t="s">
        <v>64</v>
      </c>
      <c r="U222" s="84" t="s">
        <v>63</v>
      </c>
      <c r="V222" s="85" t="s">
        <v>64</v>
      </c>
      <c r="W222" s="86" t="s">
        <v>65</v>
      </c>
      <c r="X222" s="86" t="s">
        <v>66</v>
      </c>
      <c r="Y222" s="86" t="s">
        <v>67</v>
      </c>
      <c r="Z222" s="87" t="s">
        <v>68</v>
      </c>
    </row>
    <row r="223" ht="14.25" customHeight="1">
      <c r="H223" s="88"/>
      <c r="I223" s="89"/>
      <c r="J223" s="90" t="s">
        <v>69</v>
      </c>
      <c r="K223" s="91">
        <v>2.0</v>
      </c>
      <c r="M223" s="92">
        <f>K221</f>
        <v>0</v>
      </c>
      <c r="N223" s="93">
        <f>K222</f>
        <v>1</v>
      </c>
      <c r="O223" s="93">
        <f>K221</f>
        <v>0</v>
      </c>
      <c r="P223" s="93">
        <f>K222</f>
        <v>1</v>
      </c>
      <c r="Q223" s="93">
        <f>K221</f>
        <v>0</v>
      </c>
      <c r="R223" s="93">
        <f>K222</f>
        <v>1</v>
      </c>
      <c r="S223" s="93">
        <f>K221</f>
        <v>0</v>
      </c>
      <c r="T223" s="93">
        <f>K222</f>
        <v>1</v>
      </c>
      <c r="U223" s="93">
        <f>K221</f>
        <v>0</v>
      </c>
      <c r="V223" s="94">
        <f>K222</f>
        <v>1</v>
      </c>
      <c r="W223" s="95"/>
      <c r="X223" s="95"/>
      <c r="Y223" s="96"/>
      <c r="Z223" s="97"/>
    </row>
    <row r="224" ht="14.25" customHeight="1">
      <c r="H224" s="63" t="s">
        <v>70</v>
      </c>
      <c r="I224" s="63" t="s">
        <v>68</v>
      </c>
      <c r="M224" s="98">
        <f>M223+(M233-M223)/10</f>
        <v>0.1</v>
      </c>
      <c r="N224" s="61">
        <f>N223-(N223-N233)/10</f>
        <v>0.9</v>
      </c>
      <c r="O224" s="61">
        <f>(1 - POWER(0.9,K223)) * (K222-K221) + K221</f>
        <v>0.19</v>
      </c>
      <c r="P224" s="61">
        <f>(1 - POWER(0.1,K223)) * (K222-K221) + K221</f>
        <v>0.99</v>
      </c>
      <c r="Q224" s="61">
        <f>POWER(0.1,K223) * (K222-K221)+K221</f>
        <v>0.01</v>
      </c>
      <c r="R224" s="61">
        <f>POWER(0.9,K223) * (K222-K221)+K221</f>
        <v>0.81</v>
      </c>
      <c r="S224" s="61">
        <f>(1 / (1 + EXP(-K223*(-0.4)))) * (K222-K221) + K221</f>
        <v>0.3100255189</v>
      </c>
      <c r="T224" s="61">
        <f>(1 / (1 + EXP(-K223*(0.4)))) * (K222-K221) + K221</f>
        <v>0.6899744811</v>
      </c>
      <c r="U224" s="61">
        <f>(1 / (1 + EXP(-K223*(0.1))) - 0.5) * (K222-K221) + K221</f>
        <v>0.04983399731</v>
      </c>
      <c r="V224" s="99">
        <f>(1 / (1 + EXP(-K223*(-0.1))) + 0.5) * (K222-K221) + K221</f>
        <v>0.9501660027</v>
      </c>
      <c r="W224" s="100"/>
      <c r="X224" s="100"/>
      <c r="Y224" s="101"/>
      <c r="Z224" s="102"/>
    </row>
    <row r="225" ht="14.25" customHeight="1">
      <c r="H225" s="103" t="str">
        <f>I221</f>
        <v>#REF!</v>
      </c>
      <c r="I225" s="61">
        <f>OFFSET(L223,0,I220,1,1)</f>
        <v>0</v>
      </c>
      <c r="M225" s="98">
        <f>M224+(M233-M223)/10</f>
        <v>0.2</v>
      </c>
      <c r="N225" s="61">
        <f>N224-(N223-N233)/10</f>
        <v>0.8</v>
      </c>
      <c r="O225" s="61">
        <f>(1 - POWER(0.8,K223)) * (K222-K221) + K221</f>
        <v>0.36</v>
      </c>
      <c r="P225" s="61">
        <f>(1 - POWER(0.2,K223)) * (K222-K221) + K221</f>
        <v>0.96</v>
      </c>
      <c r="Q225" s="61">
        <f>POWER(0.2,K223) * (K222-K221)+K221</f>
        <v>0.04</v>
      </c>
      <c r="R225" s="61">
        <f>POWER(0.8,K223) * (K222-K221)+K221</f>
        <v>0.64</v>
      </c>
      <c r="S225" s="61">
        <f>(1 / (1 + EXP(-K223*(-0.3)))) * (K222-K221) + K221</f>
        <v>0.3543436938</v>
      </c>
      <c r="T225" s="61">
        <f>(1 / (1 + EXP(-K223*(0.3)))) * (K222-K221) + K221</f>
        <v>0.6456563062</v>
      </c>
      <c r="U225" s="61">
        <f>(1 / (1 + EXP(-K223*(0.2))) - 0.5) *  (K222-K221) + K221</f>
        <v>0.09868766011</v>
      </c>
      <c r="V225" s="99">
        <f>(1 / (1 + EXP(-K223*(-0.2))) + 0.5) * (K222-K221) + K221</f>
        <v>0.9013123399</v>
      </c>
      <c r="W225" s="100"/>
      <c r="X225" s="100"/>
      <c r="Y225" s="101"/>
      <c r="Z225" s="102"/>
    </row>
    <row r="226" ht="14.25" customHeight="1">
      <c r="H226" s="103" t="str">
        <f>H225+(I222-I221)/10</f>
        <v>#REF!</v>
      </c>
      <c r="I226" s="61">
        <f>OFFSET(L224,0,I220,1,1)</f>
        <v>0.1</v>
      </c>
      <c r="M226" s="98">
        <f>M225+(M233-M223)/10</f>
        <v>0.3</v>
      </c>
      <c r="N226" s="61">
        <f>N225-(N223-N233)/10</f>
        <v>0.7</v>
      </c>
      <c r="O226" s="61">
        <f>(1 - POWER(0.7,K223)) * (K222-K221) + K221</f>
        <v>0.51</v>
      </c>
      <c r="P226" s="61">
        <f>(1 - POWER(0.3,K223)) * (K222-K221) + K221</f>
        <v>0.91</v>
      </c>
      <c r="Q226" s="61">
        <f>POWER(0.3,K223) * (K222-K221)+K221</f>
        <v>0.09</v>
      </c>
      <c r="R226" s="61">
        <f>POWER(0.7,K223) * (K222-K221)+K221</f>
        <v>0.49</v>
      </c>
      <c r="S226" s="61">
        <f>(1 / (1 + EXP(-K223*(-0.2)))) * (K222-K221) + K221</f>
        <v>0.4013123399</v>
      </c>
      <c r="T226" s="61">
        <f>(1 / (1 + EXP(-K223*(0.2)))) * (K222-K221) + K221</f>
        <v>0.5986876601</v>
      </c>
      <c r="U226" s="61">
        <f>(1 / (1 + EXP(-K223*(0.3))) - 0.5) * (K222-K221) + K221</f>
        <v>0.1456563062</v>
      </c>
      <c r="V226" s="99">
        <f>(1 / (1 + EXP(-K223*(-0.3))) + 0.5) * (K222-K221) + K221</f>
        <v>0.8543436938</v>
      </c>
      <c r="W226" s="100"/>
      <c r="X226" s="100"/>
      <c r="Y226" s="101"/>
      <c r="Z226" s="102"/>
    </row>
    <row r="227" ht="14.25" customHeight="1">
      <c r="H227" s="103" t="str">
        <f>H226+(I222-I221)/10</f>
        <v>#REF!</v>
      </c>
      <c r="I227" s="61">
        <f>OFFSET(L225,0,I220,1,1)</f>
        <v>0.2</v>
      </c>
      <c r="M227" s="98">
        <f>M226+(M233-M223)/10</f>
        <v>0.4</v>
      </c>
      <c r="N227" s="61">
        <f>N226-(N223-N233)/10</f>
        <v>0.6</v>
      </c>
      <c r="O227" s="61">
        <f>(1 - POWER(0.6,K223)) * (K222-K221) + K221</f>
        <v>0.64</v>
      </c>
      <c r="P227" s="61">
        <f>(1 - POWER(0.4,K223)) * (K222-K221) + K221</f>
        <v>0.84</v>
      </c>
      <c r="Q227" s="61">
        <f>POWER(0.4,K223) * (K222-K221)+K221</f>
        <v>0.16</v>
      </c>
      <c r="R227" s="61">
        <f>POWER(0.6,K223) * (K222-K221)+K221</f>
        <v>0.36</v>
      </c>
      <c r="S227" s="61">
        <f>(1 / (1 + EXP(-K223*(-0.1)))) * (K222-K221) + K221</f>
        <v>0.4501660027</v>
      </c>
      <c r="T227" s="61">
        <f>(1 / (1 + EXP(-K223*(0.1)))) * (K222-K221) + K221</f>
        <v>0.5498339973</v>
      </c>
      <c r="U227" s="61">
        <f>(1 / (1 + EXP(-K223*(0.4))) - 0.5) * (K222-K221) + K221</f>
        <v>0.1899744811</v>
      </c>
      <c r="V227" s="99">
        <f>(1 / (1 + EXP(-K223*(-0.4))) + 0.5) * (K222-K221) + K221</f>
        <v>0.8100255189</v>
      </c>
      <c r="W227" s="100"/>
      <c r="X227" s="100"/>
      <c r="Y227" s="101"/>
      <c r="Z227" s="102"/>
    </row>
    <row r="228" ht="14.25" customHeight="1">
      <c r="H228" s="103" t="str">
        <f>H227+(I222-I221)/10</f>
        <v>#REF!</v>
      </c>
      <c r="I228" s="61">
        <f>OFFSET(L226,0,I220,1,1)</f>
        <v>0.3</v>
      </c>
      <c r="M228" s="98">
        <f>M227+(M233-M223)/10</f>
        <v>0.5</v>
      </c>
      <c r="N228" s="61">
        <f>N227-(N223-N233)/10</f>
        <v>0.5</v>
      </c>
      <c r="O228" s="61">
        <f>(1 - POWER(0.5,K223)) * (K222-K221) + K221</f>
        <v>0.75</v>
      </c>
      <c r="P228" s="61">
        <f>(1 - POWER(0.5,K223)) * (K222-K221) + K221</f>
        <v>0.75</v>
      </c>
      <c r="Q228" s="61">
        <f>POWER(0.5,K223) * (K222-K221)+K221</f>
        <v>0.25</v>
      </c>
      <c r="R228" s="61">
        <f>POWER(0.5,K223) * (K222-K221)+K221</f>
        <v>0.25</v>
      </c>
      <c r="S228" s="61">
        <f>(1 / (1 + EXP(-K223*(0)))) * (K222-K221) + K221</f>
        <v>0.5</v>
      </c>
      <c r="T228" s="61">
        <f>(1 / (1 + EXP(-K223*(0)))) * (K222-K221) + K221</f>
        <v>0.5</v>
      </c>
      <c r="U228" s="61">
        <f>(1 / (1 + EXP(-K223*(0.5))) - 0.5) * (K222-K221) + K221</f>
        <v>0.2310585786</v>
      </c>
      <c r="V228" s="99">
        <f>(1 / (1 + EXP(-K223*(0.5))) - 0.5) * (K222-K221) + K221</f>
        <v>0.2310585786</v>
      </c>
      <c r="W228" s="100"/>
      <c r="X228" s="100"/>
      <c r="Y228" s="101"/>
      <c r="Z228" s="102"/>
    </row>
    <row r="229" ht="14.25" customHeight="1">
      <c r="H229" s="103" t="str">
        <f>H228+(I222-I221)/10</f>
        <v>#REF!</v>
      </c>
      <c r="I229" s="61">
        <f>OFFSET(L227,0,I220,1,1)</f>
        <v>0.4</v>
      </c>
      <c r="M229" s="98">
        <f>M228+(M233-M223)/10</f>
        <v>0.6</v>
      </c>
      <c r="N229" s="61">
        <f>N228-(N223-N233)/10</f>
        <v>0.4</v>
      </c>
      <c r="O229" s="61">
        <f>(1 - POWER(0.4,K223)) * (K222-K221) + K221</f>
        <v>0.84</v>
      </c>
      <c r="P229" s="61">
        <f>(1 - POWER(0.6,K223)) * (K222-K221) + K221</f>
        <v>0.64</v>
      </c>
      <c r="Q229" s="61">
        <f>POWER(0.6,K223) * (K222-K221)+K221</f>
        <v>0.36</v>
      </c>
      <c r="R229" s="61">
        <f>POWER(0.4,K223) * (K222-K221)+K221</f>
        <v>0.16</v>
      </c>
      <c r="S229" s="61">
        <f>(1 / (1 + EXP(-K223*(0.1)))) * (K222-K221) + K221</f>
        <v>0.5498339973</v>
      </c>
      <c r="T229" s="61">
        <f>(1 / (1 + EXP(-K223*(-0.1)))) * (K222-K221) + K221</f>
        <v>0.4501660027</v>
      </c>
      <c r="U229" s="61">
        <f>(1 / (1 + EXP(-K223*(-0.4))) + 0.5) * (K222-K221) + K221</f>
        <v>0.8100255189</v>
      </c>
      <c r="V229" s="99">
        <f>(1 / (1 + EXP(-K223*(0.4))) - 0.5) * (K222-K221) + K221</f>
        <v>0.1899744811</v>
      </c>
      <c r="W229" s="100"/>
      <c r="X229" s="100"/>
      <c r="Y229" s="101"/>
      <c r="Z229" s="102"/>
    </row>
    <row r="230" ht="14.25" customHeight="1">
      <c r="H230" s="103" t="str">
        <f>H229+(I222-I221)/10</f>
        <v>#REF!</v>
      </c>
      <c r="I230" s="61">
        <f>OFFSET(L228,0,I220,1,1)</f>
        <v>0.5</v>
      </c>
      <c r="M230" s="98">
        <f>M229+(M233-M223)/10</f>
        <v>0.7</v>
      </c>
      <c r="N230" s="61">
        <f>N229-(N223-N233)/10</f>
        <v>0.3</v>
      </c>
      <c r="O230" s="61">
        <f>(1 - POWER(0.3,K223)) * (K222-K221) + K221</f>
        <v>0.91</v>
      </c>
      <c r="P230" s="61">
        <f>(1 - POWER(0.7,K223)) * (K222-K221) + K221</f>
        <v>0.51</v>
      </c>
      <c r="Q230" s="61">
        <f>POWER(0.7,K223) * (K222-K221)+K221</f>
        <v>0.49</v>
      </c>
      <c r="R230" s="61">
        <f>POWER(0.3,K223) * (K222-K221)+K221</f>
        <v>0.09</v>
      </c>
      <c r="S230" s="61">
        <f>(1 / (1 + EXP(-K223*(0.2)))) * (K222-K221) + K221</f>
        <v>0.5986876601</v>
      </c>
      <c r="T230" s="61">
        <f>(1 / (1 + EXP(-K223*(-0.2)))) * (K222-K221) + K221</f>
        <v>0.4013123399</v>
      </c>
      <c r="U230" s="61">
        <f>(1 / (1 + EXP(-K223*(-0.3))) + 0.5) * (K222-K221) + K221</f>
        <v>0.8543436938</v>
      </c>
      <c r="V230" s="99">
        <f>(1 / (1 + EXP(-K223*(0.3))) - 0.5) * (K222-K221) + K221</f>
        <v>0.1456563062</v>
      </c>
      <c r="W230" s="100"/>
      <c r="X230" s="100"/>
      <c r="Y230" s="101"/>
      <c r="Z230" s="102"/>
    </row>
    <row r="231" ht="14.25" customHeight="1">
      <c r="H231" s="103" t="str">
        <f>H230+(I222-I221)/10</f>
        <v>#REF!</v>
      </c>
      <c r="I231" s="61">
        <f>OFFSET(L229,0,I220,1,1)</f>
        <v>0.6</v>
      </c>
      <c r="M231" s="98">
        <f>M230+(M233-M223)/10</f>
        <v>0.8</v>
      </c>
      <c r="N231" s="61">
        <f>N230-(N223-N233)/10</f>
        <v>0.2</v>
      </c>
      <c r="O231" s="61">
        <f>(1 - POWER(0.2,K223)) * (K222-K221) + K221</f>
        <v>0.96</v>
      </c>
      <c r="P231" s="61">
        <f>(1 - POWER(0.8,K223)) * (K222-K221) + K221</f>
        <v>0.36</v>
      </c>
      <c r="Q231" s="61">
        <f>POWER(0.8,K223) * (K222-K221)+K221</f>
        <v>0.64</v>
      </c>
      <c r="R231" s="61">
        <f>POWER(0.2,K223) * (K222-K221)+K221</f>
        <v>0.04</v>
      </c>
      <c r="S231" s="61">
        <f>(1 / (1 + EXP(-K223*(0.3)))) * (K222-K221) + K221</f>
        <v>0.6456563062</v>
      </c>
      <c r="T231" s="61">
        <f>(1 / (1 + EXP(-K223*(-0.3)))) * (K222-K221) + K221</f>
        <v>0.3543436938</v>
      </c>
      <c r="U231" s="61">
        <f>(1 / (1 + EXP(-K223*(-0.2))) + 0.5) * (K222-K221) + K221</f>
        <v>0.9013123399</v>
      </c>
      <c r="V231" s="99">
        <f>(1 / (1 + EXP(-K223*(0.2))) - 0.5) *  (K222-K221) + K221</f>
        <v>0.09868766011</v>
      </c>
      <c r="W231" s="100"/>
      <c r="X231" s="100"/>
      <c r="Y231" s="101"/>
      <c r="Z231" s="102"/>
    </row>
    <row r="232" ht="14.25" customHeight="1">
      <c r="H232" s="103" t="str">
        <f>H231+(I222-I221)/10</f>
        <v>#REF!</v>
      </c>
      <c r="I232" s="61">
        <f>OFFSET(L230,0,I220,1,1)</f>
        <v>0.7</v>
      </c>
      <c r="M232" s="98">
        <f>M231+(M233-M223)/10</f>
        <v>0.9</v>
      </c>
      <c r="N232" s="61">
        <f>N231-(N223-N233)/10</f>
        <v>0.1</v>
      </c>
      <c r="O232" s="61">
        <f>(1 - POWER(0.1,K223)) * (K222-K221) + K221</f>
        <v>0.99</v>
      </c>
      <c r="P232" s="61">
        <f>(1 - POWER(0.9,K223)) * (K222-K221) + K221</f>
        <v>0.19</v>
      </c>
      <c r="Q232" s="61">
        <f>POWER(0.9,K223) * (K222-K221)+K221</f>
        <v>0.81</v>
      </c>
      <c r="R232" s="61">
        <f>POWER(0.1,K223) * (K222-K221)+K221</f>
        <v>0.01</v>
      </c>
      <c r="S232" s="61">
        <f>(1 / (1 + EXP(-K223*(0.4)))) * (K222-K221) + K221</f>
        <v>0.6899744811</v>
      </c>
      <c r="T232" s="61">
        <f>(1 / (1 + EXP(-K223*(-0.4)))) * (K222-K221) + K221</f>
        <v>0.3100255189</v>
      </c>
      <c r="U232" s="61">
        <f>(1 / (1 + EXP(-K223*(-0.1))) + 0.5) * (K222-K221) + K221</f>
        <v>0.9501660027</v>
      </c>
      <c r="V232" s="99">
        <f>(1 / (1 + EXP(-K223*(0.1))) - 0.5) * (K222-K221) + K221</f>
        <v>0.04983399731</v>
      </c>
      <c r="W232" s="100"/>
      <c r="X232" s="100"/>
      <c r="Y232" s="101"/>
      <c r="Z232" s="102"/>
    </row>
    <row r="233" ht="14.25" customHeight="1">
      <c r="H233" s="103" t="str">
        <f>H232+(I222-I221)/10</f>
        <v>#REF!</v>
      </c>
      <c r="I233" s="61">
        <f>OFFSET(L231,0,I220,1,1)</f>
        <v>0.8</v>
      </c>
      <c r="M233" s="104">
        <f>K222</f>
        <v>1</v>
      </c>
      <c r="N233" s="105">
        <f>K221</f>
        <v>0</v>
      </c>
      <c r="O233" s="105">
        <f>K222</f>
        <v>1</v>
      </c>
      <c r="P233" s="105">
        <f>K221</f>
        <v>0</v>
      </c>
      <c r="Q233" s="105">
        <f>K222</f>
        <v>1</v>
      </c>
      <c r="R233" s="105">
        <f>K221</f>
        <v>0</v>
      </c>
      <c r="S233" s="105">
        <f>K222</f>
        <v>1</v>
      </c>
      <c r="T233" s="105">
        <f>K221</f>
        <v>0</v>
      </c>
      <c r="U233" s="105">
        <f>K222</f>
        <v>1</v>
      </c>
      <c r="V233" s="106">
        <f>K221</f>
        <v>0</v>
      </c>
      <c r="W233" s="107"/>
      <c r="X233" s="107"/>
      <c r="Y233" s="108"/>
      <c r="Z233" s="109"/>
    </row>
    <row r="234" ht="14.25" customHeight="1">
      <c r="H234" s="103" t="str">
        <f>H233+(I222-I221)/10</f>
        <v>#REF!</v>
      </c>
      <c r="I234" s="61">
        <f>OFFSET(L232,0,I220,1,1)</f>
        <v>0.9</v>
      </c>
    </row>
    <row r="235" ht="14.25" customHeight="1">
      <c r="H235" s="103" t="str">
        <f>I222</f>
        <v>#REF!</v>
      </c>
      <c r="I235" s="61">
        <f>OFFSET(L233,0,I220,1,1)</f>
        <v>1</v>
      </c>
    </row>
    <row r="236" ht="14.25" customHeight="1">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ht="14.25" customHeight="1"/>
    <row r="238" ht="14.25" customHeight="1">
      <c r="H238" s="72" t="s">
        <v>50</v>
      </c>
      <c r="I238" s="73">
        <v>1.0</v>
      </c>
      <c r="J238" s="73"/>
      <c r="K238" s="74"/>
      <c r="M238" s="75" t="s">
        <v>51</v>
      </c>
      <c r="N238" s="54"/>
      <c r="O238" s="54"/>
      <c r="P238" s="54"/>
      <c r="Q238" s="54"/>
      <c r="R238" s="54"/>
      <c r="S238" s="54"/>
      <c r="T238" s="54"/>
      <c r="U238" s="54"/>
      <c r="V238" s="55"/>
      <c r="W238" s="76" t="s">
        <v>52</v>
      </c>
      <c r="X238" s="77"/>
      <c r="Y238" s="76" t="s">
        <v>53</v>
      </c>
      <c r="Z238" s="77"/>
    </row>
    <row r="239" ht="14.25" customHeight="1">
      <c r="H239" s="78" t="s">
        <v>54</v>
      </c>
      <c r="I239" s="79" t="str">
        <f t="shared" ref="I239:I240" si="6">#REF!</f>
        <v>#REF!</v>
      </c>
      <c r="J239" s="80" t="s">
        <v>55</v>
      </c>
      <c r="K239" s="81">
        <v>0.0</v>
      </c>
      <c r="M239" s="58" t="s">
        <v>56</v>
      </c>
      <c r="N239" s="27"/>
      <c r="O239" s="58" t="s">
        <v>57</v>
      </c>
      <c r="P239" s="27"/>
      <c r="Q239" s="58" t="s">
        <v>58</v>
      </c>
      <c r="R239" s="27"/>
      <c r="S239" s="58" t="s">
        <v>59</v>
      </c>
      <c r="T239" s="27"/>
      <c r="U239" s="58" t="s">
        <v>60</v>
      </c>
      <c r="V239" s="27"/>
      <c r="W239" s="82"/>
      <c r="X239" s="83"/>
      <c r="Y239" s="82"/>
      <c r="Z239" s="83"/>
    </row>
    <row r="240" ht="14.25" customHeight="1">
      <c r="H240" s="78" t="s">
        <v>61</v>
      </c>
      <c r="I240" s="79" t="str">
        <f t="shared" si="6"/>
        <v>#REF!</v>
      </c>
      <c r="J240" s="80" t="s">
        <v>62</v>
      </c>
      <c r="K240" s="81">
        <v>1.0</v>
      </c>
      <c r="M240" s="84" t="s">
        <v>63</v>
      </c>
      <c r="N240" s="85" t="s">
        <v>64</v>
      </c>
      <c r="O240" s="84" t="s">
        <v>63</v>
      </c>
      <c r="P240" s="85" t="s">
        <v>64</v>
      </c>
      <c r="Q240" s="84" t="s">
        <v>63</v>
      </c>
      <c r="R240" s="85" t="s">
        <v>64</v>
      </c>
      <c r="S240" s="84" t="s">
        <v>63</v>
      </c>
      <c r="T240" s="85" t="s">
        <v>64</v>
      </c>
      <c r="U240" s="84" t="s">
        <v>63</v>
      </c>
      <c r="V240" s="85" t="s">
        <v>64</v>
      </c>
      <c r="W240" s="86" t="s">
        <v>65</v>
      </c>
      <c r="X240" s="86" t="s">
        <v>66</v>
      </c>
      <c r="Y240" s="86" t="s">
        <v>67</v>
      </c>
      <c r="Z240" s="87" t="s">
        <v>68</v>
      </c>
    </row>
    <row r="241" ht="14.25" customHeight="1">
      <c r="H241" s="88"/>
      <c r="I241" s="89"/>
      <c r="J241" s="90" t="s">
        <v>69</v>
      </c>
      <c r="K241" s="91">
        <v>2.0</v>
      </c>
      <c r="M241" s="92">
        <f>K239</f>
        <v>0</v>
      </c>
      <c r="N241" s="93">
        <f>K240</f>
        <v>1</v>
      </c>
      <c r="O241" s="93">
        <f>K239</f>
        <v>0</v>
      </c>
      <c r="P241" s="93">
        <f>K240</f>
        <v>1</v>
      </c>
      <c r="Q241" s="93">
        <f>K239</f>
        <v>0</v>
      </c>
      <c r="R241" s="93">
        <f>K240</f>
        <v>1</v>
      </c>
      <c r="S241" s="93">
        <f>K239</f>
        <v>0</v>
      </c>
      <c r="T241" s="93">
        <f>K240</f>
        <v>1</v>
      </c>
      <c r="U241" s="93">
        <f>K239</f>
        <v>0</v>
      </c>
      <c r="V241" s="94">
        <f>K240</f>
        <v>1</v>
      </c>
      <c r="W241" s="95"/>
      <c r="X241" s="95"/>
      <c r="Y241" s="96"/>
      <c r="Z241" s="97"/>
    </row>
    <row r="242" ht="14.25" customHeight="1">
      <c r="H242" s="63" t="s">
        <v>70</v>
      </c>
      <c r="I242" s="63" t="s">
        <v>68</v>
      </c>
      <c r="M242" s="98">
        <f>M241+(M251-M241)/10</f>
        <v>0.1</v>
      </c>
      <c r="N242" s="61">
        <f>N241-(N241-N251)/10</f>
        <v>0.9</v>
      </c>
      <c r="O242" s="61">
        <f>(1 - POWER(0.9,K241)) * (K240-K239) + K239</f>
        <v>0.19</v>
      </c>
      <c r="P242" s="61">
        <f>(1 - POWER(0.1,K241)) * (K240-K239) + K239</f>
        <v>0.99</v>
      </c>
      <c r="Q242" s="61">
        <f>POWER(0.1,K241) * (K240-K239)+K239</f>
        <v>0.01</v>
      </c>
      <c r="R242" s="61">
        <f>POWER(0.9,K241) * (K240-K239)+K239</f>
        <v>0.81</v>
      </c>
      <c r="S242" s="61">
        <f>(1 / (1 + EXP(-K241*(-0.4)))) * (K240-K239) + K239</f>
        <v>0.3100255189</v>
      </c>
      <c r="T242" s="61">
        <f>(1 / (1 + EXP(-K241*(0.4)))) * (K240-K239) + K239</f>
        <v>0.6899744811</v>
      </c>
      <c r="U242" s="61">
        <f>(1 / (1 + EXP(-K241*(0.1))) - 0.5) * (K240-K239) + K239</f>
        <v>0.04983399731</v>
      </c>
      <c r="V242" s="99">
        <f>(1 / (1 + EXP(-K241*(-0.1))) + 0.5) * (K240-K239) + K239</f>
        <v>0.9501660027</v>
      </c>
      <c r="W242" s="100"/>
      <c r="X242" s="100"/>
      <c r="Y242" s="101"/>
      <c r="Z242" s="102"/>
    </row>
    <row r="243" ht="14.25" customHeight="1">
      <c r="H243" s="103" t="str">
        <f>I239</f>
        <v>#REF!</v>
      </c>
      <c r="I243" s="61">
        <f>OFFSET(L241,0,I238,1,1)</f>
        <v>0</v>
      </c>
      <c r="M243" s="98">
        <f>M242+(M251-M241)/10</f>
        <v>0.2</v>
      </c>
      <c r="N243" s="61">
        <f>N242-(N241-N251)/10</f>
        <v>0.8</v>
      </c>
      <c r="O243" s="61">
        <f>(1 - POWER(0.8,K241)) * (K240-K239) + K239</f>
        <v>0.36</v>
      </c>
      <c r="P243" s="61">
        <f>(1 - POWER(0.2,K241)) * (K240-K239) + K239</f>
        <v>0.96</v>
      </c>
      <c r="Q243" s="61">
        <f>POWER(0.2,K241) * (K240-K239)+K239</f>
        <v>0.04</v>
      </c>
      <c r="R243" s="61">
        <f>POWER(0.8,K241) * (K240-K239)+K239</f>
        <v>0.64</v>
      </c>
      <c r="S243" s="61">
        <f>(1 / (1 + EXP(-K241*(-0.3)))) * (K240-K239) + K239</f>
        <v>0.3543436938</v>
      </c>
      <c r="T243" s="61">
        <f>(1 / (1 + EXP(-K241*(0.3)))) * (K240-K239) + K239</f>
        <v>0.6456563062</v>
      </c>
      <c r="U243" s="61">
        <f>(1 / (1 + EXP(-K241*(0.2))) - 0.5) *  (K240-K239) + K239</f>
        <v>0.09868766011</v>
      </c>
      <c r="V243" s="99">
        <f>(1 / (1 + EXP(-K241*(-0.2))) + 0.5) * (K240-K239) + K239</f>
        <v>0.9013123399</v>
      </c>
      <c r="W243" s="100"/>
      <c r="X243" s="100"/>
      <c r="Y243" s="101"/>
      <c r="Z243" s="102"/>
    </row>
    <row r="244" ht="14.25" customHeight="1">
      <c r="H244" s="103" t="str">
        <f>H243+(I240-I239)/10</f>
        <v>#REF!</v>
      </c>
      <c r="I244" s="61">
        <f>OFFSET(L242,0,I238,1,1)</f>
        <v>0.1</v>
      </c>
      <c r="M244" s="98">
        <f>M243+(M251-M241)/10</f>
        <v>0.3</v>
      </c>
      <c r="N244" s="61">
        <f>N243-(N241-N251)/10</f>
        <v>0.7</v>
      </c>
      <c r="O244" s="61">
        <f>(1 - POWER(0.7,K241)) * (K240-K239) + K239</f>
        <v>0.51</v>
      </c>
      <c r="P244" s="61">
        <f>(1 - POWER(0.3,K241)) * (K240-K239) + K239</f>
        <v>0.91</v>
      </c>
      <c r="Q244" s="61">
        <f>POWER(0.3,K241) * (K240-K239)+K239</f>
        <v>0.09</v>
      </c>
      <c r="R244" s="61">
        <f>POWER(0.7,K241) * (K240-K239)+K239</f>
        <v>0.49</v>
      </c>
      <c r="S244" s="61">
        <f>(1 / (1 + EXP(-K241*(-0.2)))) * (K240-K239) + K239</f>
        <v>0.4013123399</v>
      </c>
      <c r="T244" s="61">
        <f>(1 / (1 + EXP(-K241*(0.2)))) * (K240-K239) + K239</f>
        <v>0.5986876601</v>
      </c>
      <c r="U244" s="61">
        <f>(1 / (1 + EXP(-K241*(0.3))) - 0.5) * (K240-K239) + K239</f>
        <v>0.1456563062</v>
      </c>
      <c r="V244" s="99">
        <f>(1 / (1 + EXP(-K241*(-0.3))) + 0.5) * (K240-K239) + K239</f>
        <v>0.8543436938</v>
      </c>
      <c r="W244" s="100"/>
      <c r="X244" s="100"/>
      <c r="Y244" s="101"/>
      <c r="Z244" s="102"/>
    </row>
    <row r="245" ht="14.25" customHeight="1">
      <c r="H245" s="103" t="str">
        <f>H244+(I240-I239)/10</f>
        <v>#REF!</v>
      </c>
      <c r="I245" s="61">
        <f>OFFSET(L243,0,I238,1,1)</f>
        <v>0.2</v>
      </c>
      <c r="M245" s="98">
        <f>M244+(M251-M241)/10</f>
        <v>0.4</v>
      </c>
      <c r="N245" s="61">
        <f>N244-(N241-N251)/10</f>
        <v>0.6</v>
      </c>
      <c r="O245" s="61">
        <f>(1 - POWER(0.6,K241)) * (K240-K239) + K239</f>
        <v>0.64</v>
      </c>
      <c r="P245" s="61">
        <f>(1 - POWER(0.4,K241)) * (K240-K239) + K239</f>
        <v>0.84</v>
      </c>
      <c r="Q245" s="61">
        <f>POWER(0.4,K241) * (K240-K239)+K239</f>
        <v>0.16</v>
      </c>
      <c r="R245" s="61">
        <f>POWER(0.6,K241) * (K240-K239)+K239</f>
        <v>0.36</v>
      </c>
      <c r="S245" s="61">
        <f>(1 / (1 + EXP(-K241*(-0.1)))) * (K240-K239) + K239</f>
        <v>0.4501660027</v>
      </c>
      <c r="T245" s="61">
        <f>(1 / (1 + EXP(-K241*(0.1)))) * (K240-K239) + K239</f>
        <v>0.5498339973</v>
      </c>
      <c r="U245" s="61">
        <f>(1 / (1 + EXP(-K241*(0.4))) - 0.5) * (K240-K239) + K239</f>
        <v>0.1899744811</v>
      </c>
      <c r="V245" s="99">
        <f>(1 / (1 + EXP(-K241*(-0.4))) + 0.5) * (K240-K239) + K239</f>
        <v>0.8100255189</v>
      </c>
      <c r="W245" s="100"/>
      <c r="X245" s="100"/>
      <c r="Y245" s="101"/>
      <c r="Z245" s="102"/>
    </row>
    <row r="246" ht="14.25" customHeight="1">
      <c r="H246" s="103" t="str">
        <f>H245+(I240-I239)/10</f>
        <v>#REF!</v>
      </c>
      <c r="I246" s="61">
        <f>OFFSET(L244,0,I238,1,1)</f>
        <v>0.3</v>
      </c>
      <c r="M246" s="98">
        <f>M245+(M251-M241)/10</f>
        <v>0.5</v>
      </c>
      <c r="N246" s="61">
        <f>N245-(N241-N251)/10</f>
        <v>0.5</v>
      </c>
      <c r="O246" s="61">
        <f>(1 - POWER(0.5,K241)) * (K240-K239) + K239</f>
        <v>0.75</v>
      </c>
      <c r="P246" s="61">
        <f>(1 - POWER(0.5,K241)) * (K240-K239) + K239</f>
        <v>0.75</v>
      </c>
      <c r="Q246" s="61">
        <f>POWER(0.5,K241) * (K240-K239)+K239</f>
        <v>0.25</v>
      </c>
      <c r="R246" s="61">
        <f>POWER(0.5,K241) * (K240-K239)+K239</f>
        <v>0.25</v>
      </c>
      <c r="S246" s="61">
        <f>(1 / (1 + EXP(-K241*(0)))) * (K240-K239) + K239</f>
        <v>0.5</v>
      </c>
      <c r="T246" s="61">
        <f>(1 / (1 + EXP(-K241*(0)))) * (K240-K239) + K239</f>
        <v>0.5</v>
      </c>
      <c r="U246" s="61">
        <f>(1 / (1 + EXP(-K241*(0.5))) - 0.5) * (K240-K239) + K239</f>
        <v>0.2310585786</v>
      </c>
      <c r="V246" s="99">
        <f>(1 / (1 + EXP(-K241*(0.5))) - 0.5) * (K240-K239) + K239</f>
        <v>0.2310585786</v>
      </c>
      <c r="W246" s="100"/>
      <c r="X246" s="100"/>
      <c r="Y246" s="101"/>
      <c r="Z246" s="102"/>
    </row>
    <row r="247" ht="14.25" customHeight="1">
      <c r="H247" s="103" t="str">
        <f>H246+(I240-I239)/10</f>
        <v>#REF!</v>
      </c>
      <c r="I247" s="61">
        <f>OFFSET(L245,0,I238,1,1)</f>
        <v>0.4</v>
      </c>
      <c r="M247" s="98">
        <f>M246+(M251-M241)/10</f>
        <v>0.6</v>
      </c>
      <c r="N247" s="61">
        <f>N246-(N241-N251)/10</f>
        <v>0.4</v>
      </c>
      <c r="O247" s="61">
        <f>(1 - POWER(0.4,K241)) * (K240-K239) + K239</f>
        <v>0.84</v>
      </c>
      <c r="P247" s="61">
        <f>(1 - POWER(0.6,K241)) * (K240-K239) + K239</f>
        <v>0.64</v>
      </c>
      <c r="Q247" s="61">
        <f>POWER(0.6,K241) * (K240-K239)+K239</f>
        <v>0.36</v>
      </c>
      <c r="R247" s="61">
        <f>POWER(0.4,K241) * (K240-K239)+K239</f>
        <v>0.16</v>
      </c>
      <c r="S247" s="61">
        <f>(1 / (1 + EXP(-K241*(0.1)))) * (K240-K239) + K239</f>
        <v>0.5498339973</v>
      </c>
      <c r="T247" s="61">
        <f>(1 / (1 + EXP(-K241*(-0.1)))) * (K240-K239) + K239</f>
        <v>0.4501660027</v>
      </c>
      <c r="U247" s="61">
        <f>(1 / (1 + EXP(-K241*(-0.4))) + 0.5) * (K240-K239) + K239</f>
        <v>0.8100255189</v>
      </c>
      <c r="V247" s="99">
        <f>(1 / (1 + EXP(-K241*(0.4))) - 0.5) * (K240-K239) + K239</f>
        <v>0.1899744811</v>
      </c>
      <c r="W247" s="100"/>
      <c r="X247" s="100"/>
      <c r="Y247" s="101"/>
      <c r="Z247" s="102"/>
    </row>
    <row r="248" ht="14.25" customHeight="1">
      <c r="H248" s="103" t="str">
        <f>H247+(I240-I239)/10</f>
        <v>#REF!</v>
      </c>
      <c r="I248" s="61">
        <f>OFFSET(L246,0,I238,1,1)</f>
        <v>0.5</v>
      </c>
      <c r="M248" s="98">
        <f>M247+(M251-M241)/10</f>
        <v>0.7</v>
      </c>
      <c r="N248" s="61">
        <f>N247-(N241-N251)/10</f>
        <v>0.3</v>
      </c>
      <c r="O248" s="61">
        <f>(1 - POWER(0.3,K241)) * (K240-K239) + K239</f>
        <v>0.91</v>
      </c>
      <c r="P248" s="61">
        <f>(1 - POWER(0.7,K241)) * (K240-K239) + K239</f>
        <v>0.51</v>
      </c>
      <c r="Q248" s="61">
        <f>POWER(0.7,K241) * (K240-K239)+K239</f>
        <v>0.49</v>
      </c>
      <c r="R248" s="61">
        <f>POWER(0.3,K241) * (K240-K239)+K239</f>
        <v>0.09</v>
      </c>
      <c r="S248" s="61">
        <f>(1 / (1 + EXP(-K241*(0.2)))) * (K240-K239) + K239</f>
        <v>0.5986876601</v>
      </c>
      <c r="T248" s="61">
        <f>(1 / (1 + EXP(-K241*(-0.2)))) * (K240-K239) + K239</f>
        <v>0.4013123399</v>
      </c>
      <c r="U248" s="61">
        <f>(1 / (1 + EXP(-K241*(-0.3))) + 0.5) * (K240-K239) + K239</f>
        <v>0.8543436938</v>
      </c>
      <c r="V248" s="99">
        <f>(1 / (1 + EXP(-K241*(0.3))) - 0.5) * (K240-K239) + K239</f>
        <v>0.1456563062</v>
      </c>
      <c r="W248" s="100"/>
      <c r="X248" s="100"/>
      <c r="Y248" s="101"/>
      <c r="Z248" s="102"/>
    </row>
    <row r="249" ht="14.25" customHeight="1">
      <c r="H249" s="103" t="str">
        <f>H248+(I240-I239)/10</f>
        <v>#REF!</v>
      </c>
      <c r="I249" s="61">
        <f>OFFSET(L247,0,I238,1,1)</f>
        <v>0.6</v>
      </c>
      <c r="M249" s="98">
        <f>M248+(M251-M241)/10</f>
        <v>0.8</v>
      </c>
      <c r="N249" s="61">
        <f>N248-(N241-N251)/10</f>
        <v>0.2</v>
      </c>
      <c r="O249" s="61">
        <f>(1 - POWER(0.2,K241)) * (K240-K239) + K239</f>
        <v>0.96</v>
      </c>
      <c r="P249" s="61">
        <f>(1 - POWER(0.8,K241)) * (K240-K239) + K239</f>
        <v>0.36</v>
      </c>
      <c r="Q249" s="61">
        <f>POWER(0.8,K241) * (K240-K239)+K239</f>
        <v>0.64</v>
      </c>
      <c r="R249" s="61">
        <f>POWER(0.2,K241) * (K240-K239)+K239</f>
        <v>0.04</v>
      </c>
      <c r="S249" s="61">
        <f>(1 / (1 + EXP(-K241*(0.3)))) * (K240-K239) + K239</f>
        <v>0.6456563062</v>
      </c>
      <c r="T249" s="61">
        <f>(1 / (1 + EXP(-K241*(-0.3)))) * (K240-K239) + K239</f>
        <v>0.3543436938</v>
      </c>
      <c r="U249" s="61">
        <f>(1 / (1 + EXP(-K241*(-0.2))) + 0.5) * (K240-K239) + K239</f>
        <v>0.9013123399</v>
      </c>
      <c r="V249" s="99">
        <f>(1 / (1 + EXP(-K241*(0.2))) - 0.5) *  (K240-K239) + K239</f>
        <v>0.09868766011</v>
      </c>
      <c r="W249" s="100"/>
      <c r="X249" s="100"/>
      <c r="Y249" s="101"/>
      <c r="Z249" s="102"/>
    </row>
    <row r="250" ht="14.25" customHeight="1">
      <c r="H250" s="103" t="str">
        <f>H249+(I240-I239)/10</f>
        <v>#REF!</v>
      </c>
      <c r="I250" s="61">
        <f>OFFSET(L248,0,I238,1,1)</f>
        <v>0.7</v>
      </c>
      <c r="M250" s="98">
        <f>M249+(M251-M241)/10</f>
        <v>0.9</v>
      </c>
      <c r="N250" s="61">
        <f>N249-(N241-N251)/10</f>
        <v>0.1</v>
      </c>
      <c r="O250" s="61">
        <f>(1 - POWER(0.1,K241)) * (K240-K239) + K239</f>
        <v>0.99</v>
      </c>
      <c r="P250" s="61">
        <f>(1 - POWER(0.9,K241)) * (K240-K239) + K239</f>
        <v>0.19</v>
      </c>
      <c r="Q250" s="61">
        <f>POWER(0.9,K241) * (K240-K239)+K239</f>
        <v>0.81</v>
      </c>
      <c r="R250" s="61">
        <f>POWER(0.1,K241) * (K240-K239)+K239</f>
        <v>0.01</v>
      </c>
      <c r="S250" s="61">
        <f>(1 / (1 + EXP(-K241*(0.4)))) * (K240-K239) + K239</f>
        <v>0.6899744811</v>
      </c>
      <c r="T250" s="61">
        <f>(1 / (1 + EXP(-K241*(-0.4)))) * (K240-K239) + K239</f>
        <v>0.3100255189</v>
      </c>
      <c r="U250" s="61">
        <f>(1 / (1 + EXP(-K241*(-0.1))) + 0.5) * (K240-K239) + K239</f>
        <v>0.9501660027</v>
      </c>
      <c r="V250" s="99">
        <f>(1 / (1 + EXP(-K241*(0.1))) - 0.5) * (K240-K239) + K239</f>
        <v>0.04983399731</v>
      </c>
      <c r="W250" s="100"/>
      <c r="X250" s="100"/>
      <c r="Y250" s="101"/>
      <c r="Z250" s="102"/>
    </row>
    <row r="251" ht="14.25" customHeight="1">
      <c r="H251" s="103" t="str">
        <f>H250+(I240-I239)/10</f>
        <v>#REF!</v>
      </c>
      <c r="I251" s="61">
        <f>OFFSET(L249,0,I238,1,1)</f>
        <v>0.8</v>
      </c>
      <c r="M251" s="104">
        <f>K240</f>
        <v>1</v>
      </c>
      <c r="N251" s="105">
        <f>K239</f>
        <v>0</v>
      </c>
      <c r="O251" s="105">
        <f>K240</f>
        <v>1</v>
      </c>
      <c r="P251" s="105">
        <f>K239</f>
        <v>0</v>
      </c>
      <c r="Q251" s="105">
        <f>K240</f>
        <v>1</v>
      </c>
      <c r="R251" s="105">
        <f>K239</f>
        <v>0</v>
      </c>
      <c r="S251" s="105">
        <f>K240</f>
        <v>1</v>
      </c>
      <c r="T251" s="105">
        <f>K239</f>
        <v>0</v>
      </c>
      <c r="U251" s="105">
        <f>K240</f>
        <v>1</v>
      </c>
      <c r="V251" s="106">
        <f>K239</f>
        <v>0</v>
      </c>
      <c r="W251" s="107"/>
      <c r="X251" s="107"/>
      <c r="Y251" s="108"/>
      <c r="Z251" s="109"/>
    </row>
    <row r="252" ht="14.25" customHeight="1">
      <c r="H252" s="103" t="str">
        <f>H251+(I240-I239)/10</f>
        <v>#REF!</v>
      </c>
      <c r="I252" s="61">
        <f>OFFSET(L250,0,I238,1,1)</f>
        <v>0.9</v>
      </c>
    </row>
    <row r="253" ht="14.25" customHeight="1">
      <c r="H253" s="103" t="str">
        <f>I240</f>
        <v>#REF!</v>
      </c>
      <c r="I253" s="61">
        <f>OFFSET(L251,0,I238,1,1)</f>
        <v>1</v>
      </c>
    </row>
    <row r="254" ht="14.25" customHeight="1">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ht="14.25" customHeight="1"/>
    <row r="256" ht="14.25" customHeight="1">
      <c r="H256" s="72" t="s">
        <v>50</v>
      </c>
      <c r="I256" s="73">
        <v>1.0</v>
      </c>
      <c r="J256" s="73"/>
      <c r="K256" s="74"/>
      <c r="M256" s="75" t="s">
        <v>51</v>
      </c>
      <c r="N256" s="54"/>
      <c r="O256" s="54"/>
      <c r="P256" s="54"/>
      <c r="Q256" s="54"/>
      <c r="R256" s="54"/>
      <c r="S256" s="54"/>
      <c r="T256" s="54"/>
      <c r="U256" s="54"/>
      <c r="V256" s="55"/>
      <c r="W256" s="76" t="s">
        <v>52</v>
      </c>
      <c r="X256" s="77"/>
      <c r="Y256" s="76" t="s">
        <v>53</v>
      </c>
      <c r="Z256" s="77"/>
    </row>
    <row r="257" ht="14.25" customHeight="1">
      <c r="H257" s="78" t="s">
        <v>54</v>
      </c>
      <c r="I257" s="79" t="str">
        <f t="shared" ref="I257:I258" si="7">#REF!</f>
        <v>#REF!</v>
      </c>
      <c r="J257" s="80" t="s">
        <v>55</v>
      </c>
      <c r="K257" s="81">
        <v>0.0</v>
      </c>
      <c r="M257" s="58" t="s">
        <v>56</v>
      </c>
      <c r="N257" s="27"/>
      <c r="O257" s="58" t="s">
        <v>57</v>
      </c>
      <c r="P257" s="27"/>
      <c r="Q257" s="58" t="s">
        <v>58</v>
      </c>
      <c r="R257" s="27"/>
      <c r="S257" s="58" t="s">
        <v>59</v>
      </c>
      <c r="T257" s="27"/>
      <c r="U257" s="58" t="s">
        <v>60</v>
      </c>
      <c r="V257" s="27"/>
      <c r="W257" s="82"/>
      <c r="X257" s="83"/>
      <c r="Y257" s="82"/>
      <c r="Z257" s="83"/>
    </row>
    <row r="258" ht="14.25" customHeight="1">
      <c r="H258" s="78" t="s">
        <v>61</v>
      </c>
      <c r="I258" s="79" t="str">
        <f t="shared" si="7"/>
        <v>#REF!</v>
      </c>
      <c r="J258" s="80" t="s">
        <v>62</v>
      </c>
      <c r="K258" s="81">
        <v>1.0</v>
      </c>
      <c r="M258" s="84" t="s">
        <v>63</v>
      </c>
      <c r="N258" s="85" t="s">
        <v>64</v>
      </c>
      <c r="O258" s="84" t="s">
        <v>63</v>
      </c>
      <c r="P258" s="85" t="s">
        <v>64</v>
      </c>
      <c r="Q258" s="84" t="s">
        <v>63</v>
      </c>
      <c r="R258" s="85" t="s">
        <v>64</v>
      </c>
      <c r="S258" s="84" t="s">
        <v>63</v>
      </c>
      <c r="T258" s="85" t="s">
        <v>64</v>
      </c>
      <c r="U258" s="84" t="s">
        <v>63</v>
      </c>
      <c r="V258" s="85" t="s">
        <v>64</v>
      </c>
      <c r="W258" s="86" t="s">
        <v>65</v>
      </c>
      <c r="X258" s="86" t="s">
        <v>66</v>
      </c>
      <c r="Y258" s="86" t="s">
        <v>67</v>
      </c>
      <c r="Z258" s="87" t="s">
        <v>68</v>
      </c>
    </row>
    <row r="259" ht="14.25" customHeight="1">
      <c r="H259" s="88"/>
      <c r="I259" s="89"/>
      <c r="J259" s="90" t="s">
        <v>69</v>
      </c>
      <c r="K259" s="91">
        <v>2.0</v>
      </c>
      <c r="M259" s="92">
        <f>K257</f>
        <v>0</v>
      </c>
      <c r="N259" s="93">
        <f>K258</f>
        <v>1</v>
      </c>
      <c r="O259" s="93">
        <f>K257</f>
        <v>0</v>
      </c>
      <c r="P259" s="93">
        <f>K258</f>
        <v>1</v>
      </c>
      <c r="Q259" s="93">
        <f>K257</f>
        <v>0</v>
      </c>
      <c r="R259" s="93">
        <f>K258</f>
        <v>1</v>
      </c>
      <c r="S259" s="93">
        <f>K257</f>
        <v>0</v>
      </c>
      <c r="T259" s="93">
        <f>K258</f>
        <v>1</v>
      </c>
      <c r="U259" s="93">
        <f>K257</f>
        <v>0</v>
      </c>
      <c r="V259" s="94">
        <f>K258</f>
        <v>1</v>
      </c>
      <c r="W259" s="95"/>
      <c r="X259" s="95"/>
      <c r="Y259" s="96"/>
      <c r="Z259" s="97"/>
    </row>
    <row r="260" ht="14.25" customHeight="1">
      <c r="H260" s="63" t="s">
        <v>70</v>
      </c>
      <c r="I260" s="63" t="s">
        <v>68</v>
      </c>
      <c r="M260" s="98">
        <f>M259+(M269-M259)/10</f>
        <v>0.1</v>
      </c>
      <c r="N260" s="61">
        <f>N259-(N259-N269)/10</f>
        <v>0.9</v>
      </c>
      <c r="O260" s="61">
        <f>(1 - POWER(0.9,K259)) * (K258-K257) + K257</f>
        <v>0.19</v>
      </c>
      <c r="P260" s="61">
        <f>(1 - POWER(0.1,K259)) * (K258-K257) + K257</f>
        <v>0.99</v>
      </c>
      <c r="Q260" s="61">
        <f>POWER(0.1,K259) * (K258-K257)+K257</f>
        <v>0.01</v>
      </c>
      <c r="R260" s="61">
        <f>POWER(0.9,K259) * (K258-K257)+K257</f>
        <v>0.81</v>
      </c>
      <c r="S260" s="61">
        <f>(1 / (1 + EXP(-K259*(-0.4)))) * (K258-K257) + K257</f>
        <v>0.3100255189</v>
      </c>
      <c r="T260" s="61">
        <f>(1 / (1 + EXP(-K259*(0.4)))) * (K258-K257) + K257</f>
        <v>0.6899744811</v>
      </c>
      <c r="U260" s="61">
        <f>(1 / (1 + EXP(-K259*(0.1))) - 0.5) * (K258-K257) + K257</f>
        <v>0.04983399731</v>
      </c>
      <c r="V260" s="99">
        <f>(1 / (1 + EXP(-K259*(-0.1))) + 0.5) * (K258-K257) + K257</f>
        <v>0.9501660027</v>
      </c>
      <c r="W260" s="100"/>
      <c r="X260" s="100"/>
      <c r="Y260" s="101"/>
      <c r="Z260" s="102"/>
    </row>
    <row r="261" ht="14.25" customHeight="1">
      <c r="H261" s="103" t="str">
        <f>I257</f>
        <v>#REF!</v>
      </c>
      <c r="I261" s="61">
        <f>OFFSET(L259,0,I256,1,1)</f>
        <v>0</v>
      </c>
      <c r="M261" s="98">
        <f>M260+(M269-M259)/10</f>
        <v>0.2</v>
      </c>
      <c r="N261" s="61">
        <f>N260-(N259-N269)/10</f>
        <v>0.8</v>
      </c>
      <c r="O261" s="61">
        <f>(1 - POWER(0.8,K259)) * (K258-K257) + K257</f>
        <v>0.36</v>
      </c>
      <c r="P261" s="61">
        <f>(1 - POWER(0.2,K259)) * (K258-K257) + K257</f>
        <v>0.96</v>
      </c>
      <c r="Q261" s="61">
        <f>POWER(0.2,K259) * (K258-K257)+K257</f>
        <v>0.04</v>
      </c>
      <c r="R261" s="61">
        <f>POWER(0.8,K259) * (K258-K257)+K257</f>
        <v>0.64</v>
      </c>
      <c r="S261" s="61">
        <f>(1 / (1 + EXP(-K259*(-0.3)))) * (K258-K257) + K257</f>
        <v>0.3543436938</v>
      </c>
      <c r="T261" s="61">
        <f>(1 / (1 + EXP(-K259*(0.3)))) * (K258-K257) + K257</f>
        <v>0.6456563062</v>
      </c>
      <c r="U261" s="61">
        <f>(1 / (1 + EXP(-K259*(0.2))) - 0.5) *  (K258-K257) + K257</f>
        <v>0.09868766011</v>
      </c>
      <c r="V261" s="99">
        <f>(1 / (1 + EXP(-K259*(-0.2))) + 0.5) * (K258-K257) + K257</f>
        <v>0.9013123399</v>
      </c>
      <c r="W261" s="100"/>
      <c r="X261" s="100"/>
      <c r="Y261" s="101"/>
      <c r="Z261" s="102"/>
    </row>
    <row r="262" ht="14.25" customHeight="1">
      <c r="H262" s="103" t="str">
        <f>H261+(I258-I257)/10</f>
        <v>#REF!</v>
      </c>
      <c r="I262" s="61">
        <f>OFFSET(L260,0,I256,1,1)</f>
        <v>0.1</v>
      </c>
      <c r="M262" s="98">
        <f>M261+(M269-M259)/10</f>
        <v>0.3</v>
      </c>
      <c r="N262" s="61">
        <f>N261-(N259-N269)/10</f>
        <v>0.7</v>
      </c>
      <c r="O262" s="61">
        <f>(1 - POWER(0.7,K259)) * (K258-K257) + K257</f>
        <v>0.51</v>
      </c>
      <c r="P262" s="61">
        <f>(1 - POWER(0.3,K259)) * (K258-K257) + K257</f>
        <v>0.91</v>
      </c>
      <c r="Q262" s="61">
        <f>POWER(0.3,K259) * (K258-K257)+K257</f>
        <v>0.09</v>
      </c>
      <c r="R262" s="61">
        <f>POWER(0.7,K259) * (K258-K257)+K257</f>
        <v>0.49</v>
      </c>
      <c r="S262" s="61">
        <f>(1 / (1 + EXP(-K259*(-0.2)))) * (K258-K257) + K257</f>
        <v>0.4013123399</v>
      </c>
      <c r="T262" s="61">
        <f>(1 / (1 + EXP(-K259*(0.2)))) * (K258-K257) + K257</f>
        <v>0.5986876601</v>
      </c>
      <c r="U262" s="61">
        <f>(1 / (1 + EXP(-K259*(0.3))) - 0.5) * (K258-K257) + K257</f>
        <v>0.1456563062</v>
      </c>
      <c r="V262" s="99">
        <f>(1 / (1 + EXP(-K259*(-0.3))) + 0.5) * (K258-K257) + K257</f>
        <v>0.8543436938</v>
      </c>
      <c r="W262" s="100"/>
      <c r="X262" s="100"/>
      <c r="Y262" s="101"/>
      <c r="Z262" s="102"/>
    </row>
    <row r="263" ht="14.25" customHeight="1">
      <c r="H263" s="103" t="str">
        <f>H262+(I258-I257)/10</f>
        <v>#REF!</v>
      </c>
      <c r="I263" s="61">
        <f>OFFSET(L261,0,I256,1,1)</f>
        <v>0.2</v>
      </c>
      <c r="M263" s="98">
        <f>M262+(M269-M259)/10</f>
        <v>0.4</v>
      </c>
      <c r="N263" s="61">
        <f>N262-(N259-N269)/10</f>
        <v>0.6</v>
      </c>
      <c r="O263" s="61">
        <f>(1 - POWER(0.6,K259)) * (K258-K257) + K257</f>
        <v>0.64</v>
      </c>
      <c r="P263" s="61">
        <f>(1 - POWER(0.4,K259)) * (K258-K257) + K257</f>
        <v>0.84</v>
      </c>
      <c r="Q263" s="61">
        <f>POWER(0.4,K259) * (K258-K257)+K257</f>
        <v>0.16</v>
      </c>
      <c r="R263" s="61">
        <f>POWER(0.6,K259) * (K258-K257)+K257</f>
        <v>0.36</v>
      </c>
      <c r="S263" s="61">
        <f>(1 / (1 + EXP(-K259*(-0.1)))) * (K258-K257) + K257</f>
        <v>0.4501660027</v>
      </c>
      <c r="T263" s="61">
        <f>(1 / (1 + EXP(-K259*(0.1)))) * (K258-K257) + K257</f>
        <v>0.5498339973</v>
      </c>
      <c r="U263" s="61">
        <f>(1 / (1 + EXP(-K259*(0.4))) - 0.5) * (K258-K257) + K257</f>
        <v>0.1899744811</v>
      </c>
      <c r="V263" s="99">
        <f>(1 / (1 + EXP(-K259*(-0.4))) + 0.5) * (K258-K257) + K257</f>
        <v>0.8100255189</v>
      </c>
      <c r="W263" s="100"/>
      <c r="X263" s="100"/>
      <c r="Y263" s="101"/>
      <c r="Z263" s="102"/>
    </row>
    <row r="264" ht="14.25" customHeight="1">
      <c r="H264" s="103" t="str">
        <f>H263+(I258-I257)/10</f>
        <v>#REF!</v>
      </c>
      <c r="I264" s="61">
        <f>OFFSET(L262,0,I256,1,1)</f>
        <v>0.3</v>
      </c>
      <c r="M264" s="98">
        <f>M263+(M269-M259)/10</f>
        <v>0.5</v>
      </c>
      <c r="N264" s="61">
        <f>N263-(N259-N269)/10</f>
        <v>0.5</v>
      </c>
      <c r="O264" s="61">
        <f>(1 - POWER(0.5,K259)) * (K258-K257) + K257</f>
        <v>0.75</v>
      </c>
      <c r="P264" s="61">
        <f>(1 - POWER(0.5,K259)) * (K258-K257) + K257</f>
        <v>0.75</v>
      </c>
      <c r="Q264" s="61">
        <f>POWER(0.5,K259) * (K258-K257)+K257</f>
        <v>0.25</v>
      </c>
      <c r="R264" s="61">
        <f>POWER(0.5,K259) * (K258-K257)+K257</f>
        <v>0.25</v>
      </c>
      <c r="S264" s="61">
        <f>(1 / (1 + EXP(-K259*(0)))) * (K258-K257) + K257</f>
        <v>0.5</v>
      </c>
      <c r="T264" s="61">
        <f>(1 / (1 + EXP(-K259*(0)))) * (K258-K257) + K257</f>
        <v>0.5</v>
      </c>
      <c r="U264" s="61">
        <f>(1 / (1 + EXP(-K259*(0.5))) - 0.5) * (K258-K257) + K257</f>
        <v>0.2310585786</v>
      </c>
      <c r="V264" s="99">
        <f>(1 / (1 + EXP(-K259*(0.5))) - 0.5) * (K258-K257) + K257</f>
        <v>0.2310585786</v>
      </c>
      <c r="W264" s="100"/>
      <c r="X264" s="100"/>
      <c r="Y264" s="101"/>
      <c r="Z264" s="102"/>
    </row>
    <row r="265" ht="14.25" customHeight="1">
      <c r="H265" s="103" t="str">
        <f>H264+(I258-I257)/10</f>
        <v>#REF!</v>
      </c>
      <c r="I265" s="61">
        <f>OFFSET(L263,0,I256,1,1)</f>
        <v>0.4</v>
      </c>
      <c r="M265" s="98">
        <f>M264+(M269-M259)/10</f>
        <v>0.6</v>
      </c>
      <c r="N265" s="61">
        <f>N264-(N259-N269)/10</f>
        <v>0.4</v>
      </c>
      <c r="O265" s="61">
        <f>(1 - POWER(0.4,K259)) * (K258-K257) + K257</f>
        <v>0.84</v>
      </c>
      <c r="P265" s="61">
        <f>(1 - POWER(0.6,K259)) * (K258-K257) + K257</f>
        <v>0.64</v>
      </c>
      <c r="Q265" s="61">
        <f>POWER(0.6,K259) * (K258-K257)+K257</f>
        <v>0.36</v>
      </c>
      <c r="R265" s="61">
        <f>POWER(0.4,K259) * (K258-K257)+K257</f>
        <v>0.16</v>
      </c>
      <c r="S265" s="61">
        <f>(1 / (1 + EXP(-K259*(0.1)))) * (K258-K257) + K257</f>
        <v>0.5498339973</v>
      </c>
      <c r="T265" s="61">
        <f>(1 / (1 + EXP(-K259*(-0.1)))) * (K258-K257) + K257</f>
        <v>0.4501660027</v>
      </c>
      <c r="U265" s="61">
        <f>(1 / (1 + EXP(-K259*(-0.4))) + 0.5) * (K258-K257) + K257</f>
        <v>0.8100255189</v>
      </c>
      <c r="V265" s="99">
        <f>(1 / (1 + EXP(-K259*(0.4))) - 0.5) * (K258-K257) + K257</f>
        <v>0.1899744811</v>
      </c>
      <c r="W265" s="100"/>
      <c r="X265" s="100"/>
      <c r="Y265" s="101"/>
      <c r="Z265" s="102"/>
    </row>
    <row r="266" ht="14.25" customHeight="1">
      <c r="H266" s="103" t="str">
        <f>H265+(I258-I257)/10</f>
        <v>#REF!</v>
      </c>
      <c r="I266" s="61">
        <f>OFFSET(L264,0,I256,1,1)</f>
        <v>0.5</v>
      </c>
      <c r="M266" s="98">
        <f>M265+(M269-M259)/10</f>
        <v>0.7</v>
      </c>
      <c r="N266" s="61">
        <f>N265-(N259-N269)/10</f>
        <v>0.3</v>
      </c>
      <c r="O266" s="61">
        <f>(1 - POWER(0.3,K259)) * (K258-K257) + K257</f>
        <v>0.91</v>
      </c>
      <c r="P266" s="61">
        <f>(1 - POWER(0.7,K259)) * (K258-K257) + K257</f>
        <v>0.51</v>
      </c>
      <c r="Q266" s="61">
        <f>POWER(0.7,K259) * (K258-K257)+K257</f>
        <v>0.49</v>
      </c>
      <c r="R266" s="61">
        <f>POWER(0.3,K259) * (K258-K257)+K257</f>
        <v>0.09</v>
      </c>
      <c r="S266" s="61">
        <f>(1 / (1 + EXP(-K259*(0.2)))) * (K258-K257) + K257</f>
        <v>0.5986876601</v>
      </c>
      <c r="T266" s="61">
        <f>(1 / (1 + EXP(-K259*(-0.2)))) * (K258-K257) + K257</f>
        <v>0.4013123399</v>
      </c>
      <c r="U266" s="61">
        <f>(1 / (1 + EXP(-K259*(-0.3))) + 0.5) * (K258-K257) + K257</f>
        <v>0.8543436938</v>
      </c>
      <c r="V266" s="99">
        <f>(1 / (1 + EXP(-K259*(0.3))) - 0.5) * (K258-K257) + K257</f>
        <v>0.1456563062</v>
      </c>
      <c r="W266" s="100"/>
      <c r="X266" s="100"/>
      <c r="Y266" s="101"/>
      <c r="Z266" s="102"/>
    </row>
    <row r="267" ht="14.25" customHeight="1">
      <c r="H267" s="103" t="str">
        <f>H266+(I258-I257)/10</f>
        <v>#REF!</v>
      </c>
      <c r="I267" s="61">
        <f>OFFSET(L265,0,I256,1,1)</f>
        <v>0.6</v>
      </c>
      <c r="M267" s="98">
        <f>M266+(M269-M259)/10</f>
        <v>0.8</v>
      </c>
      <c r="N267" s="61">
        <f>N266-(N259-N269)/10</f>
        <v>0.2</v>
      </c>
      <c r="O267" s="61">
        <f>(1 - POWER(0.2,K259)) * (K258-K257) + K257</f>
        <v>0.96</v>
      </c>
      <c r="P267" s="61">
        <f>(1 - POWER(0.8,K259)) * (K258-K257) + K257</f>
        <v>0.36</v>
      </c>
      <c r="Q267" s="61">
        <f>POWER(0.8,K259) * (K258-K257)+K257</f>
        <v>0.64</v>
      </c>
      <c r="R267" s="61">
        <f>POWER(0.2,K259) * (K258-K257)+K257</f>
        <v>0.04</v>
      </c>
      <c r="S267" s="61">
        <f>(1 / (1 + EXP(-K259*(0.3)))) * (K258-K257) + K257</f>
        <v>0.6456563062</v>
      </c>
      <c r="T267" s="61">
        <f>(1 / (1 + EXP(-K259*(-0.3)))) * (K258-K257) + K257</f>
        <v>0.3543436938</v>
      </c>
      <c r="U267" s="61">
        <f>(1 / (1 + EXP(-K259*(-0.2))) + 0.5) * (K258-K257) + K257</f>
        <v>0.9013123399</v>
      </c>
      <c r="V267" s="99">
        <f>(1 / (1 + EXP(-K259*(0.2))) - 0.5) *  (K258-K257) + K257</f>
        <v>0.09868766011</v>
      </c>
      <c r="W267" s="100"/>
      <c r="X267" s="100"/>
      <c r="Y267" s="101"/>
      <c r="Z267" s="102"/>
    </row>
    <row r="268" ht="14.25" customHeight="1">
      <c r="H268" s="103" t="str">
        <f>H267+(I258-I257)/10</f>
        <v>#REF!</v>
      </c>
      <c r="I268" s="61">
        <f>OFFSET(L266,0,I256,1,1)</f>
        <v>0.7</v>
      </c>
      <c r="M268" s="98">
        <f>M267+(M269-M259)/10</f>
        <v>0.9</v>
      </c>
      <c r="N268" s="61">
        <f>N267-(N259-N269)/10</f>
        <v>0.1</v>
      </c>
      <c r="O268" s="61">
        <f>(1 - POWER(0.1,K259)) * (K258-K257) + K257</f>
        <v>0.99</v>
      </c>
      <c r="P268" s="61">
        <f>(1 - POWER(0.9,K259)) * (K258-K257) + K257</f>
        <v>0.19</v>
      </c>
      <c r="Q268" s="61">
        <f>POWER(0.9,K259) * (K258-K257)+K257</f>
        <v>0.81</v>
      </c>
      <c r="R268" s="61">
        <f>POWER(0.1,K259) * (K258-K257)+K257</f>
        <v>0.01</v>
      </c>
      <c r="S268" s="61">
        <f>(1 / (1 + EXP(-K259*(0.4)))) * (K258-K257) + K257</f>
        <v>0.6899744811</v>
      </c>
      <c r="T268" s="61">
        <f>(1 / (1 + EXP(-K259*(-0.4)))) * (K258-K257) + K257</f>
        <v>0.3100255189</v>
      </c>
      <c r="U268" s="61">
        <f>(1 / (1 + EXP(-K259*(-0.1))) + 0.5) * (K258-K257) + K257</f>
        <v>0.9501660027</v>
      </c>
      <c r="V268" s="99">
        <f>(1 / (1 + EXP(-K259*(0.1))) - 0.5) * (K258-K257) + K257</f>
        <v>0.04983399731</v>
      </c>
      <c r="W268" s="100"/>
      <c r="X268" s="100"/>
      <c r="Y268" s="101"/>
      <c r="Z268" s="102"/>
    </row>
    <row r="269" ht="14.25" customHeight="1">
      <c r="H269" s="103" t="str">
        <f>H268+(I258-I257)/10</f>
        <v>#REF!</v>
      </c>
      <c r="I269" s="61">
        <f>OFFSET(L267,0,I256,1,1)</f>
        <v>0.8</v>
      </c>
      <c r="M269" s="104">
        <f>K258</f>
        <v>1</v>
      </c>
      <c r="N269" s="105">
        <f>K257</f>
        <v>0</v>
      </c>
      <c r="O269" s="105">
        <f>K258</f>
        <v>1</v>
      </c>
      <c r="P269" s="105">
        <f>K257</f>
        <v>0</v>
      </c>
      <c r="Q269" s="105">
        <f>K258</f>
        <v>1</v>
      </c>
      <c r="R269" s="105">
        <f>K257</f>
        <v>0</v>
      </c>
      <c r="S269" s="105">
        <f>K258</f>
        <v>1</v>
      </c>
      <c r="T269" s="105">
        <f>K257</f>
        <v>0</v>
      </c>
      <c r="U269" s="105">
        <f>K258</f>
        <v>1</v>
      </c>
      <c r="V269" s="106">
        <f>K257</f>
        <v>0</v>
      </c>
      <c r="W269" s="107"/>
      <c r="X269" s="107"/>
      <c r="Y269" s="108"/>
      <c r="Z269" s="109"/>
    </row>
    <row r="270" ht="14.25" customHeight="1">
      <c r="H270" s="103" t="str">
        <f>H269+(I258-I257)/10</f>
        <v>#REF!</v>
      </c>
      <c r="I270" s="61">
        <f>OFFSET(L268,0,I256,1,1)</f>
        <v>0.9</v>
      </c>
    </row>
    <row r="271" ht="14.25" customHeight="1">
      <c r="H271" s="103" t="str">
        <f>I258</f>
        <v>#REF!</v>
      </c>
      <c r="I271" s="61">
        <f>OFFSET(L269,0,I256,1,1)</f>
        <v>1</v>
      </c>
    </row>
    <row r="272" ht="14.25" customHeight="1">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ht="14.25" customHeight="1"/>
    <row r="274" ht="14.25" customHeight="1">
      <c r="H274" s="72" t="s">
        <v>50</v>
      </c>
      <c r="I274" s="73">
        <v>1.0</v>
      </c>
      <c r="J274" s="73"/>
      <c r="K274" s="74"/>
      <c r="M274" s="75" t="s">
        <v>51</v>
      </c>
      <c r="N274" s="54"/>
      <c r="O274" s="54"/>
      <c r="P274" s="54"/>
      <c r="Q274" s="54"/>
      <c r="R274" s="54"/>
      <c r="S274" s="54"/>
      <c r="T274" s="54"/>
      <c r="U274" s="54"/>
      <c r="V274" s="55"/>
      <c r="W274" s="76" t="s">
        <v>52</v>
      </c>
      <c r="X274" s="77"/>
      <c r="Y274" s="76" t="s">
        <v>53</v>
      </c>
      <c r="Z274" s="77"/>
    </row>
    <row r="275" ht="14.25" customHeight="1">
      <c r="H275" s="78" t="s">
        <v>54</v>
      </c>
      <c r="I275" s="79" t="str">
        <f t="shared" ref="I275:I276" si="8">#REF!</f>
        <v>#REF!</v>
      </c>
      <c r="J275" s="80" t="s">
        <v>55</v>
      </c>
      <c r="K275" s="81">
        <v>0.0</v>
      </c>
      <c r="M275" s="58" t="s">
        <v>56</v>
      </c>
      <c r="N275" s="27"/>
      <c r="O275" s="58" t="s">
        <v>57</v>
      </c>
      <c r="P275" s="27"/>
      <c r="Q275" s="58" t="s">
        <v>58</v>
      </c>
      <c r="R275" s="27"/>
      <c r="S275" s="58" t="s">
        <v>59</v>
      </c>
      <c r="T275" s="27"/>
      <c r="U275" s="58" t="s">
        <v>60</v>
      </c>
      <c r="V275" s="27"/>
      <c r="W275" s="82"/>
      <c r="X275" s="83"/>
      <c r="Y275" s="82"/>
      <c r="Z275" s="83"/>
    </row>
    <row r="276" ht="14.25" customHeight="1">
      <c r="H276" s="78" t="s">
        <v>61</v>
      </c>
      <c r="I276" s="79" t="str">
        <f t="shared" si="8"/>
        <v>#REF!</v>
      </c>
      <c r="J276" s="80" t="s">
        <v>62</v>
      </c>
      <c r="K276" s="81">
        <v>1.0</v>
      </c>
      <c r="M276" s="84" t="s">
        <v>63</v>
      </c>
      <c r="N276" s="85" t="s">
        <v>64</v>
      </c>
      <c r="O276" s="84" t="s">
        <v>63</v>
      </c>
      <c r="P276" s="85" t="s">
        <v>64</v>
      </c>
      <c r="Q276" s="84" t="s">
        <v>63</v>
      </c>
      <c r="R276" s="85" t="s">
        <v>64</v>
      </c>
      <c r="S276" s="84" t="s">
        <v>63</v>
      </c>
      <c r="T276" s="85" t="s">
        <v>64</v>
      </c>
      <c r="U276" s="84" t="s">
        <v>63</v>
      </c>
      <c r="V276" s="85" t="s">
        <v>64</v>
      </c>
      <c r="W276" s="86" t="s">
        <v>65</v>
      </c>
      <c r="X276" s="86" t="s">
        <v>66</v>
      </c>
      <c r="Y276" s="86" t="s">
        <v>67</v>
      </c>
      <c r="Z276" s="87" t="s">
        <v>68</v>
      </c>
    </row>
    <row r="277" ht="14.25" customHeight="1">
      <c r="H277" s="88"/>
      <c r="I277" s="89"/>
      <c r="J277" s="90" t="s">
        <v>69</v>
      </c>
      <c r="K277" s="91">
        <v>2.0</v>
      </c>
      <c r="M277" s="92">
        <f>K275</f>
        <v>0</v>
      </c>
      <c r="N277" s="93">
        <f>K276</f>
        <v>1</v>
      </c>
      <c r="O277" s="93">
        <f>K275</f>
        <v>0</v>
      </c>
      <c r="P277" s="93">
        <f>K276</f>
        <v>1</v>
      </c>
      <c r="Q277" s="93">
        <f>K275</f>
        <v>0</v>
      </c>
      <c r="R277" s="93">
        <f>K276</f>
        <v>1</v>
      </c>
      <c r="S277" s="93">
        <f>K275</f>
        <v>0</v>
      </c>
      <c r="T277" s="93">
        <f>K276</f>
        <v>1</v>
      </c>
      <c r="U277" s="93">
        <f>K275</f>
        <v>0</v>
      </c>
      <c r="V277" s="94">
        <f>K276</f>
        <v>1</v>
      </c>
      <c r="W277" s="95"/>
      <c r="X277" s="95"/>
      <c r="Y277" s="96"/>
      <c r="Z277" s="97"/>
    </row>
    <row r="278" ht="14.25" customHeight="1">
      <c r="H278" s="63" t="s">
        <v>70</v>
      </c>
      <c r="I278" s="63" t="s">
        <v>68</v>
      </c>
      <c r="M278" s="98">
        <f>M277+(M287-M277)/10</f>
        <v>0.1</v>
      </c>
      <c r="N278" s="61">
        <f>N277-(N277-N287)/10</f>
        <v>0.9</v>
      </c>
      <c r="O278" s="61">
        <f>(1 - POWER(0.9,K277)) * (K276-K275) + K275</f>
        <v>0.19</v>
      </c>
      <c r="P278" s="61">
        <f>(1 - POWER(0.1,K277)) * (K276-K275) + K275</f>
        <v>0.99</v>
      </c>
      <c r="Q278" s="61">
        <f>POWER(0.1,K277) * (K276-K275)+K275</f>
        <v>0.01</v>
      </c>
      <c r="R278" s="61">
        <f>POWER(0.9,K277) * (K276-K275)+K275</f>
        <v>0.81</v>
      </c>
      <c r="S278" s="61">
        <f>(1 / (1 + EXP(-K277*(-0.4)))) * (K276-K275) + K275</f>
        <v>0.3100255189</v>
      </c>
      <c r="T278" s="61">
        <f>(1 / (1 + EXP(-K277*(0.4)))) * (K276-K275) + K275</f>
        <v>0.6899744811</v>
      </c>
      <c r="U278" s="61">
        <f>(1 / (1 + EXP(-K277*(0.1))) - 0.5) * (K276-K275) + K275</f>
        <v>0.04983399731</v>
      </c>
      <c r="V278" s="99">
        <f>(1 / (1 + EXP(-K277*(-0.1))) + 0.5) * (K276-K275) + K275</f>
        <v>0.9501660027</v>
      </c>
      <c r="W278" s="100"/>
      <c r="X278" s="100"/>
      <c r="Y278" s="101"/>
      <c r="Z278" s="102"/>
    </row>
    <row r="279" ht="14.25" customHeight="1">
      <c r="H279" s="103" t="str">
        <f>I275</f>
        <v>#REF!</v>
      </c>
      <c r="I279" s="61">
        <f>OFFSET(L277,0,I274,1,1)</f>
        <v>0</v>
      </c>
      <c r="M279" s="98">
        <f>M278+(M287-M277)/10</f>
        <v>0.2</v>
      </c>
      <c r="N279" s="61">
        <f>N278-(N277-N287)/10</f>
        <v>0.8</v>
      </c>
      <c r="O279" s="61">
        <f>(1 - POWER(0.8,K277)) * (K276-K275) + K275</f>
        <v>0.36</v>
      </c>
      <c r="P279" s="61">
        <f>(1 - POWER(0.2,K277)) * (K276-K275) + K275</f>
        <v>0.96</v>
      </c>
      <c r="Q279" s="61">
        <f>POWER(0.2,K277) * (K276-K275)+K275</f>
        <v>0.04</v>
      </c>
      <c r="R279" s="61">
        <f>POWER(0.8,K277) * (K276-K275)+K275</f>
        <v>0.64</v>
      </c>
      <c r="S279" s="61">
        <f>(1 / (1 + EXP(-K277*(-0.3)))) * (K276-K275) + K275</f>
        <v>0.3543436938</v>
      </c>
      <c r="T279" s="61">
        <f>(1 / (1 + EXP(-K277*(0.3)))) * (K276-K275) + K275</f>
        <v>0.6456563062</v>
      </c>
      <c r="U279" s="61">
        <f>(1 / (1 + EXP(-K277*(0.2))) - 0.5) *  (K276-K275) + K275</f>
        <v>0.09868766011</v>
      </c>
      <c r="V279" s="99">
        <f>(1 / (1 + EXP(-K277*(-0.2))) + 0.5) * (K276-K275) + K275</f>
        <v>0.9013123399</v>
      </c>
      <c r="W279" s="100"/>
      <c r="X279" s="100"/>
      <c r="Y279" s="101"/>
      <c r="Z279" s="102"/>
    </row>
    <row r="280" ht="14.25" customHeight="1">
      <c r="H280" s="103" t="str">
        <f>H279+(I276-I275)/10</f>
        <v>#REF!</v>
      </c>
      <c r="I280" s="61">
        <f>OFFSET(L278,0,I274,1,1)</f>
        <v>0.1</v>
      </c>
      <c r="M280" s="98">
        <f>M279+(M287-M277)/10</f>
        <v>0.3</v>
      </c>
      <c r="N280" s="61">
        <f>N279-(N277-N287)/10</f>
        <v>0.7</v>
      </c>
      <c r="O280" s="61">
        <f>(1 - POWER(0.7,K277)) * (K276-K275) + K275</f>
        <v>0.51</v>
      </c>
      <c r="P280" s="61">
        <f>(1 - POWER(0.3,K277)) * (K276-K275) + K275</f>
        <v>0.91</v>
      </c>
      <c r="Q280" s="61">
        <f>POWER(0.3,K277) * (K276-K275)+K275</f>
        <v>0.09</v>
      </c>
      <c r="R280" s="61">
        <f>POWER(0.7,K277) * (K276-K275)+K275</f>
        <v>0.49</v>
      </c>
      <c r="S280" s="61">
        <f>(1 / (1 + EXP(-K277*(-0.2)))) * (K276-K275) + K275</f>
        <v>0.4013123399</v>
      </c>
      <c r="T280" s="61">
        <f>(1 / (1 + EXP(-K277*(0.2)))) * (K276-K275) + K275</f>
        <v>0.5986876601</v>
      </c>
      <c r="U280" s="61">
        <f>(1 / (1 + EXP(-K277*(0.3))) - 0.5) * (K276-K275) + K275</f>
        <v>0.1456563062</v>
      </c>
      <c r="V280" s="99">
        <f>(1 / (1 + EXP(-K277*(-0.3))) + 0.5) * (K276-K275) + K275</f>
        <v>0.8543436938</v>
      </c>
      <c r="W280" s="100"/>
      <c r="X280" s="100"/>
      <c r="Y280" s="101"/>
      <c r="Z280" s="102"/>
    </row>
    <row r="281" ht="14.25" customHeight="1">
      <c r="H281" s="103" t="str">
        <f>H280+(I276-I275)/10</f>
        <v>#REF!</v>
      </c>
      <c r="I281" s="61">
        <f>OFFSET(L279,0,I274,1,1)</f>
        <v>0.2</v>
      </c>
      <c r="M281" s="98">
        <f>M280+(M287-M277)/10</f>
        <v>0.4</v>
      </c>
      <c r="N281" s="61">
        <f>N280-(N277-N287)/10</f>
        <v>0.6</v>
      </c>
      <c r="O281" s="61">
        <f>(1 - POWER(0.6,K277)) * (K276-K275) + K275</f>
        <v>0.64</v>
      </c>
      <c r="P281" s="61">
        <f>(1 - POWER(0.4,K277)) * (K276-K275) + K275</f>
        <v>0.84</v>
      </c>
      <c r="Q281" s="61">
        <f>POWER(0.4,K277) * (K276-K275)+K275</f>
        <v>0.16</v>
      </c>
      <c r="R281" s="61">
        <f>POWER(0.6,K277) * (K276-K275)+K275</f>
        <v>0.36</v>
      </c>
      <c r="S281" s="61">
        <f>(1 / (1 + EXP(-K277*(-0.1)))) * (K276-K275) + K275</f>
        <v>0.4501660027</v>
      </c>
      <c r="T281" s="61">
        <f>(1 / (1 + EXP(-K277*(0.1)))) * (K276-K275) + K275</f>
        <v>0.5498339973</v>
      </c>
      <c r="U281" s="61">
        <f>(1 / (1 + EXP(-K277*(0.4))) - 0.5) * (K276-K275) + K275</f>
        <v>0.1899744811</v>
      </c>
      <c r="V281" s="99">
        <f>(1 / (1 + EXP(-K277*(-0.4))) + 0.5) * (K276-K275) + K275</f>
        <v>0.8100255189</v>
      </c>
      <c r="W281" s="100"/>
      <c r="X281" s="100"/>
      <c r="Y281" s="101"/>
      <c r="Z281" s="102"/>
    </row>
    <row r="282" ht="14.25" customHeight="1">
      <c r="H282" s="103" t="str">
        <f>H281+(I276-I275)/10</f>
        <v>#REF!</v>
      </c>
      <c r="I282" s="61">
        <f>OFFSET(L280,0,I274,1,1)</f>
        <v>0.3</v>
      </c>
      <c r="M282" s="98">
        <f>M281+(M287-M277)/10</f>
        <v>0.5</v>
      </c>
      <c r="N282" s="61">
        <f>N281-(N277-N287)/10</f>
        <v>0.5</v>
      </c>
      <c r="O282" s="61">
        <f>(1 - POWER(0.5,K277)) * (K276-K275) + K275</f>
        <v>0.75</v>
      </c>
      <c r="P282" s="61">
        <f>(1 - POWER(0.5,K277)) * (K276-K275) + K275</f>
        <v>0.75</v>
      </c>
      <c r="Q282" s="61">
        <f>POWER(0.5,K277) * (K276-K275)+K275</f>
        <v>0.25</v>
      </c>
      <c r="R282" s="61">
        <f>POWER(0.5,K277) * (K276-K275)+K275</f>
        <v>0.25</v>
      </c>
      <c r="S282" s="61">
        <f>(1 / (1 + EXP(-K277*(0)))) * (K276-K275) + K275</f>
        <v>0.5</v>
      </c>
      <c r="T282" s="61">
        <f>(1 / (1 + EXP(-K277*(0)))) * (K276-K275) + K275</f>
        <v>0.5</v>
      </c>
      <c r="U282" s="61">
        <f>(1 / (1 + EXP(-K277*(0.5))) - 0.5) * (K276-K275) + K275</f>
        <v>0.2310585786</v>
      </c>
      <c r="V282" s="99">
        <f>(1 / (1 + EXP(-K277*(0.5))) - 0.5) * (K276-K275) + K275</f>
        <v>0.2310585786</v>
      </c>
      <c r="W282" s="100"/>
      <c r="X282" s="100"/>
      <c r="Y282" s="101"/>
      <c r="Z282" s="102"/>
    </row>
    <row r="283" ht="14.25" customHeight="1">
      <c r="H283" s="103" t="str">
        <f>H282+(I276-I275)/10</f>
        <v>#REF!</v>
      </c>
      <c r="I283" s="61">
        <f>OFFSET(L281,0,I274,1,1)</f>
        <v>0.4</v>
      </c>
      <c r="M283" s="98">
        <f>M282+(M287-M277)/10</f>
        <v>0.6</v>
      </c>
      <c r="N283" s="61">
        <f>N282-(N277-N287)/10</f>
        <v>0.4</v>
      </c>
      <c r="O283" s="61">
        <f>(1 - POWER(0.4,K277)) * (K276-K275) + K275</f>
        <v>0.84</v>
      </c>
      <c r="P283" s="61">
        <f>(1 - POWER(0.6,K277)) * (K276-K275) + K275</f>
        <v>0.64</v>
      </c>
      <c r="Q283" s="61">
        <f>POWER(0.6,K277) * (K276-K275)+K275</f>
        <v>0.36</v>
      </c>
      <c r="R283" s="61">
        <f>POWER(0.4,K277) * (K276-K275)+K275</f>
        <v>0.16</v>
      </c>
      <c r="S283" s="61">
        <f>(1 / (1 + EXP(-K277*(0.1)))) * (K276-K275) + K275</f>
        <v>0.5498339973</v>
      </c>
      <c r="T283" s="61">
        <f>(1 / (1 + EXP(-K277*(-0.1)))) * (K276-K275) + K275</f>
        <v>0.4501660027</v>
      </c>
      <c r="U283" s="61">
        <f>(1 / (1 + EXP(-K277*(-0.4))) + 0.5) * (K276-K275) + K275</f>
        <v>0.8100255189</v>
      </c>
      <c r="V283" s="99">
        <f>(1 / (1 + EXP(-K277*(0.4))) - 0.5) * (K276-K275) + K275</f>
        <v>0.1899744811</v>
      </c>
      <c r="W283" s="100"/>
      <c r="X283" s="100"/>
      <c r="Y283" s="101"/>
      <c r="Z283" s="102"/>
    </row>
    <row r="284" ht="14.25" customHeight="1">
      <c r="H284" s="103" t="str">
        <f>H283+(I276-I275)/10</f>
        <v>#REF!</v>
      </c>
      <c r="I284" s="61">
        <f>OFFSET(L282,0,I274,1,1)</f>
        <v>0.5</v>
      </c>
      <c r="M284" s="98">
        <f>M283+(M287-M277)/10</f>
        <v>0.7</v>
      </c>
      <c r="N284" s="61">
        <f>N283-(N277-N287)/10</f>
        <v>0.3</v>
      </c>
      <c r="O284" s="61">
        <f>(1 - POWER(0.3,K277)) * (K276-K275) + K275</f>
        <v>0.91</v>
      </c>
      <c r="P284" s="61">
        <f>(1 - POWER(0.7,K277)) * (K276-K275) + K275</f>
        <v>0.51</v>
      </c>
      <c r="Q284" s="61">
        <f>POWER(0.7,K277) * (K276-K275)+K275</f>
        <v>0.49</v>
      </c>
      <c r="R284" s="61">
        <f>POWER(0.3,K277) * (K276-K275)+K275</f>
        <v>0.09</v>
      </c>
      <c r="S284" s="61">
        <f>(1 / (1 + EXP(-K277*(0.2)))) * (K276-K275) + K275</f>
        <v>0.5986876601</v>
      </c>
      <c r="T284" s="61">
        <f>(1 / (1 + EXP(-K277*(-0.2)))) * (K276-K275) + K275</f>
        <v>0.4013123399</v>
      </c>
      <c r="U284" s="61">
        <f>(1 / (1 + EXP(-K277*(-0.3))) + 0.5) * (K276-K275) + K275</f>
        <v>0.8543436938</v>
      </c>
      <c r="V284" s="99">
        <f>(1 / (1 + EXP(-K277*(0.3))) - 0.5) * (K276-K275) + K275</f>
        <v>0.1456563062</v>
      </c>
      <c r="W284" s="100"/>
      <c r="X284" s="100"/>
      <c r="Y284" s="101"/>
      <c r="Z284" s="102"/>
    </row>
    <row r="285" ht="14.25" customHeight="1">
      <c r="H285" s="103" t="str">
        <f>H284+(I276-I275)/10</f>
        <v>#REF!</v>
      </c>
      <c r="I285" s="61">
        <f>OFFSET(L283,0,I274,1,1)</f>
        <v>0.6</v>
      </c>
      <c r="M285" s="98">
        <f>M284+(M287-M277)/10</f>
        <v>0.8</v>
      </c>
      <c r="N285" s="61">
        <f>N284-(N277-N287)/10</f>
        <v>0.2</v>
      </c>
      <c r="O285" s="61">
        <f>(1 - POWER(0.2,K277)) * (K276-K275) + K275</f>
        <v>0.96</v>
      </c>
      <c r="P285" s="61">
        <f>(1 - POWER(0.8,K277)) * (K276-K275) + K275</f>
        <v>0.36</v>
      </c>
      <c r="Q285" s="61">
        <f>POWER(0.8,K277) * (K276-K275)+K275</f>
        <v>0.64</v>
      </c>
      <c r="R285" s="61">
        <f>POWER(0.2,K277) * (K276-K275)+K275</f>
        <v>0.04</v>
      </c>
      <c r="S285" s="61">
        <f>(1 / (1 + EXP(-K277*(0.3)))) * (K276-K275) + K275</f>
        <v>0.6456563062</v>
      </c>
      <c r="T285" s="61">
        <f>(1 / (1 + EXP(-K277*(-0.3)))) * (K276-K275) + K275</f>
        <v>0.3543436938</v>
      </c>
      <c r="U285" s="61">
        <f>(1 / (1 + EXP(-K277*(-0.2))) + 0.5) * (K276-K275) + K275</f>
        <v>0.9013123399</v>
      </c>
      <c r="V285" s="99">
        <f>(1 / (1 + EXP(-K277*(0.2))) - 0.5) *  (K276-K275) + K275</f>
        <v>0.09868766011</v>
      </c>
      <c r="W285" s="100"/>
      <c r="X285" s="100"/>
      <c r="Y285" s="101"/>
      <c r="Z285" s="102"/>
    </row>
    <row r="286" ht="14.25" customHeight="1">
      <c r="H286" s="103" t="str">
        <f>H285+(I276-I275)/10</f>
        <v>#REF!</v>
      </c>
      <c r="I286" s="61">
        <f>OFFSET(L284,0,I274,1,1)</f>
        <v>0.7</v>
      </c>
      <c r="M286" s="98">
        <f>M285+(M287-M277)/10</f>
        <v>0.9</v>
      </c>
      <c r="N286" s="61">
        <f>N285-(N277-N287)/10</f>
        <v>0.1</v>
      </c>
      <c r="O286" s="61">
        <f>(1 - POWER(0.1,K277)) * (K276-K275) + K275</f>
        <v>0.99</v>
      </c>
      <c r="P286" s="61">
        <f>(1 - POWER(0.9,K277)) * (K276-K275) + K275</f>
        <v>0.19</v>
      </c>
      <c r="Q286" s="61">
        <f>POWER(0.9,K277) * (K276-K275)+K275</f>
        <v>0.81</v>
      </c>
      <c r="R286" s="61">
        <f>POWER(0.1,K277) * (K276-K275)+K275</f>
        <v>0.01</v>
      </c>
      <c r="S286" s="61">
        <f>(1 / (1 + EXP(-K277*(0.4)))) * (K276-K275) + K275</f>
        <v>0.6899744811</v>
      </c>
      <c r="T286" s="61">
        <f>(1 / (1 + EXP(-K277*(-0.4)))) * (K276-K275) + K275</f>
        <v>0.3100255189</v>
      </c>
      <c r="U286" s="61">
        <f>(1 / (1 + EXP(-K277*(-0.1))) + 0.5) * (K276-K275) + K275</f>
        <v>0.9501660027</v>
      </c>
      <c r="V286" s="99">
        <f>(1 / (1 + EXP(-K277*(0.1))) - 0.5) * (K276-K275) + K275</f>
        <v>0.04983399731</v>
      </c>
      <c r="W286" s="100"/>
      <c r="X286" s="100"/>
      <c r="Y286" s="101"/>
      <c r="Z286" s="102"/>
    </row>
    <row r="287" ht="14.25" customHeight="1">
      <c r="H287" s="103" t="str">
        <f>H286+(I276-I275)/10</f>
        <v>#REF!</v>
      </c>
      <c r="I287" s="61">
        <f>OFFSET(L285,0,I274,1,1)</f>
        <v>0.8</v>
      </c>
      <c r="M287" s="104">
        <f>K276</f>
        <v>1</v>
      </c>
      <c r="N287" s="105">
        <f>K275</f>
        <v>0</v>
      </c>
      <c r="O287" s="105">
        <f>K276</f>
        <v>1</v>
      </c>
      <c r="P287" s="105">
        <f>K275</f>
        <v>0</v>
      </c>
      <c r="Q287" s="105">
        <f>K276</f>
        <v>1</v>
      </c>
      <c r="R287" s="105">
        <f>K275</f>
        <v>0</v>
      </c>
      <c r="S287" s="105">
        <f>K276</f>
        <v>1</v>
      </c>
      <c r="T287" s="105">
        <f>K275</f>
        <v>0</v>
      </c>
      <c r="U287" s="105">
        <f>K276</f>
        <v>1</v>
      </c>
      <c r="V287" s="106">
        <f>K275</f>
        <v>0</v>
      </c>
      <c r="W287" s="107"/>
      <c r="X287" s="107"/>
      <c r="Y287" s="108"/>
      <c r="Z287" s="109"/>
    </row>
    <row r="288" ht="14.25" customHeight="1">
      <c r="H288" s="103" t="str">
        <f>H287+(I276-I275)/10</f>
        <v>#REF!</v>
      </c>
      <c r="I288" s="61">
        <f>OFFSET(L286,0,I274,1,1)</f>
        <v>0.9</v>
      </c>
    </row>
    <row r="289" ht="14.25" customHeight="1">
      <c r="H289" s="103" t="str">
        <f>I276</f>
        <v>#REF!</v>
      </c>
      <c r="I289" s="61">
        <f>OFFSET(L287,0,I274,1,1)</f>
        <v>1</v>
      </c>
    </row>
    <row r="290" ht="14.25" customHeight="1">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ht="14.25" customHeight="1"/>
    <row r="292" ht="14.25" customHeight="1">
      <c r="H292" s="72" t="s">
        <v>50</v>
      </c>
      <c r="I292" s="73">
        <v>1.0</v>
      </c>
      <c r="J292" s="73"/>
      <c r="K292" s="74"/>
      <c r="M292" s="75" t="s">
        <v>51</v>
      </c>
      <c r="N292" s="54"/>
      <c r="O292" s="54"/>
      <c r="P292" s="54"/>
      <c r="Q292" s="54"/>
      <c r="R292" s="54"/>
      <c r="S292" s="54"/>
      <c r="T292" s="54"/>
      <c r="U292" s="54"/>
      <c r="V292" s="55"/>
      <c r="W292" s="76" t="s">
        <v>52</v>
      </c>
      <c r="X292" s="77"/>
      <c r="Y292" s="76" t="s">
        <v>53</v>
      </c>
      <c r="Z292" s="77"/>
    </row>
    <row r="293" ht="14.25" customHeight="1">
      <c r="H293" s="78" t="s">
        <v>54</v>
      </c>
      <c r="I293" s="79" t="str">
        <f t="shared" ref="I293:I294" si="9">#REF!</f>
        <v>#REF!</v>
      </c>
      <c r="J293" s="80" t="s">
        <v>55</v>
      </c>
      <c r="K293" s="81">
        <v>0.0</v>
      </c>
      <c r="M293" s="58" t="s">
        <v>56</v>
      </c>
      <c r="N293" s="27"/>
      <c r="O293" s="58" t="s">
        <v>57</v>
      </c>
      <c r="P293" s="27"/>
      <c r="Q293" s="58" t="s">
        <v>58</v>
      </c>
      <c r="R293" s="27"/>
      <c r="S293" s="58" t="s">
        <v>59</v>
      </c>
      <c r="T293" s="27"/>
      <c r="U293" s="58" t="s">
        <v>60</v>
      </c>
      <c r="V293" s="27"/>
      <c r="W293" s="82"/>
      <c r="X293" s="83"/>
      <c r="Y293" s="82"/>
      <c r="Z293" s="83"/>
    </row>
    <row r="294" ht="14.25" customHeight="1">
      <c r="H294" s="78" t="s">
        <v>61</v>
      </c>
      <c r="I294" s="79" t="str">
        <f t="shared" si="9"/>
        <v>#REF!</v>
      </c>
      <c r="J294" s="80" t="s">
        <v>62</v>
      </c>
      <c r="K294" s="81">
        <v>1.0</v>
      </c>
      <c r="M294" s="84" t="s">
        <v>63</v>
      </c>
      <c r="N294" s="85" t="s">
        <v>64</v>
      </c>
      <c r="O294" s="84" t="s">
        <v>63</v>
      </c>
      <c r="P294" s="85" t="s">
        <v>64</v>
      </c>
      <c r="Q294" s="84" t="s">
        <v>63</v>
      </c>
      <c r="R294" s="85" t="s">
        <v>64</v>
      </c>
      <c r="S294" s="84" t="s">
        <v>63</v>
      </c>
      <c r="T294" s="85" t="s">
        <v>64</v>
      </c>
      <c r="U294" s="84" t="s">
        <v>63</v>
      </c>
      <c r="V294" s="85" t="s">
        <v>64</v>
      </c>
      <c r="W294" s="86" t="s">
        <v>65</v>
      </c>
      <c r="X294" s="86" t="s">
        <v>66</v>
      </c>
      <c r="Y294" s="86" t="s">
        <v>67</v>
      </c>
      <c r="Z294" s="87" t="s">
        <v>68</v>
      </c>
    </row>
    <row r="295" ht="14.25" customHeight="1">
      <c r="H295" s="88"/>
      <c r="I295" s="89"/>
      <c r="J295" s="90" t="s">
        <v>69</v>
      </c>
      <c r="K295" s="91">
        <v>2.0</v>
      </c>
      <c r="M295" s="92">
        <f>K293</f>
        <v>0</v>
      </c>
      <c r="N295" s="93">
        <f>K294</f>
        <v>1</v>
      </c>
      <c r="O295" s="93">
        <f>K293</f>
        <v>0</v>
      </c>
      <c r="P295" s="93">
        <f>K294</f>
        <v>1</v>
      </c>
      <c r="Q295" s="93">
        <f>K293</f>
        <v>0</v>
      </c>
      <c r="R295" s="93">
        <f>K294</f>
        <v>1</v>
      </c>
      <c r="S295" s="93">
        <f>K293</f>
        <v>0</v>
      </c>
      <c r="T295" s="93">
        <f>K294</f>
        <v>1</v>
      </c>
      <c r="U295" s="93">
        <f>K293</f>
        <v>0</v>
      </c>
      <c r="V295" s="94">
        <f>K294</f>
        <v>1</v>
      </c>
      <c r="W295" s="95"/>
      <c r="X295" s="95"/>
      <c r="Y295" s="96"/>
      <c r="Z295" s="97"/>
    </row>
    <row r="296" ht="14.25" customHeight="1">
      <c r="H296" s="63" t="s">
        <v>70</v>
      </c>
      <c r="I296" s="63" t="s">
        <v>68</v>
      </c>
      <c r="M296" s="98">
        <f>M295+(M305-M295)/10</f>
        <v>0.1</v>
      </c>
      <c r="N296" s="61">
        <f>N295-(N295-N305)/10</f>
        <v>0.9</v>
      </c>
      <c r="O296" s="61">
        <f>(1 - POWER(0.9,K295)) * (K294-K293) + K293</f>
        <v>0.19</v>
      </c>
      <c r="P296" s="61">
        <f>(1 - POWER(0.1,K295)) * (K294-K293) + K293</f>
        <v>0.99</v>
      </c>
      <c r="Q296" s="61">
        <f>POWER(0.1,K295) * (K294-K293)+K293</f>
        <v>0.01</v>
      </c>
      <c r="R296" s="61">
        <f>POWER(0.9,K295) * (K294-K293)+K293</f>
        <v>0.81</v>
      </c>
      <c r="S296" s="61">
        <f>(1 / (1 + EXP(-K295*(-0.4)))) * (K294-K293) + K293</f>
        <v>0.3100255189</v>
      </c>
      <c r="T296" s="61">
        <f>(1 / (1 + EXP(-K295*(0.4)))) * (K294-K293) + K293</f>
        <v>0.6899744811</v>
      </c>
      <c r="U296" s="61">
        <f>(1 / (1 + EXP(-K295*(0.1))) - 0.5) * (K294-K293) + K293</f>
        <v>0.04983399731</v>
      </c>
      <c r="V296" s="99">
        <f>(1 / (1 + EXP(-K295*(-0.1))) + 0.5) * (K294-K293) + K293</f>
        <v>0.9501660027</v>
      </c>
      <c r="W296" s="100"/>
      <c r="X296" s="100"/>
      <c r="Y296" s="101"/>
      <c r="Z296" s="102"/>
    </row>
    <row r="297" ht="14.25" customHeight="1">
      <c r="H297" s="103" t="str">
        <f>I293</f>
        <v>#REF!</v>
      </c>
      <c r="I297" s="61">
        <f>OFFSET(L295,0,I292,1,1)</f>
        <v>0</v>
      </c>
      <c r="M297" s="98">
        <f>M296+(M305-M295)/10</f>
        <v>0.2</v>
      </c>
      <c r="N297" s="61">
        <f>N296-(N295-N305)/10</f>
        <v>0.8</v>
      </c>
      <c r="O297" s="61">
        <f>(1 - POWER(0.8,K295)) * (K294-K293) + K293</f>
        <v>0.36</v>
      </c>
      <c r="P297" s="61">
        <f>(1 - POWER(0.2,K295)) * (K294-K293) + K293</f>
        <v>0.96</v>
      </c>
      <c r="Q297" s="61">
        <f>POWER(0.2,K295) * (K294-K293)+K293</f>
        <v>0.04</v>
      </c>
      <c r="R297" s="61">
        <f>POWER(0.8,K295) * (K294-K293)+K293</f>
        <v>0.64</v>
      </c>
      <c r="S297" s="61">
        <f>(1 / (1 + EXP(-K295*(-0.3)))) * (K294-K293) + K293</f>
        <v>0.3543436938</v>
      </c>
      <c r="T297" s="61">
        <f>(1 / (1 + EXP(-K295*(0.3)))) * (K294-K293) + K293</f>
        <v>0.6456563062</v>
      </c>
      <c r="U297" s="61">
        <f>(1 / (1 + EXP(-K295*(0.2))) - 0.5) *  (K294-K293) + K293</f>
        <v>0.09868766011</v>
      </c>
      <c r="V297" s="99">
        <f>(1 / (1 + EXP(-K295*(-0.2))) + 0.5) * (K294-K293) + K293</f>
        <v>0.9013123399</v>
      </c>
      <c r="W297" s="100"/>
      <c r="X297" s="100"/>
      <c r="Y297" s="101"/>
      <c r="Z297" s="102"/>
    </row>
    <row r="298" ht="14.25" customHeight="1">
      <c r="H298" s="103" t="str">
        <f>H297+(I294-I293)/10</f>
        <v>#REF!</v>
      </c>
      <c r="I298" s="61">
        <f>OFFSET(L296,0,I292,1,1)</f>
        <v>0.1</v>
      </c>
      <c r="M298" s="98">
        <f>M297+(M305-M295)/10</f>
        <v>0.3</v>
      </c>
      <c r="N298" s="61">
        <f>N297-(N295-N305)/10</f>
        <v>0.7</v>
      </c>
      <c r="O298" s="61">
        <f>(1 - POWER(0.7,K295)) * (K294-K293) + K293</f>
        <v>0.51</v>
      </c>
      <c r="P298" s="61">
        <f>(1 - POWER(0.3,K295)) * (K294-K293) + K293</f>
        <v>0.91</v>
      </c>
      <c r="Q298" s="61">
        <f>POWER(0.3,K295) * (K294-K293)+K293</f>
        <v>0.09</v>
      </c>
      <c r="R298" s="61">
        <f>POWER(0.7,K295) * (K294-K293)+K293</f>
        <v>0.49</v>
      </c>
      <c r="S298" s="61">
        <f>(1 / (1 + EXP(-K295*(-0.2)))) * (K294-K293) + K293</f>
        <v>0.4013123399</v>
      </c>
      <c r="T298" s="61">
        <f>(1 / (1 + EXP(-K295*(0.2)))) * (K294-K293) + K293</f>
        <v>0.5986876601</v>
      </c>
      <c r="U298" s="61">
        <f>(1 / (1 + EXP(-K295*(0.3))) - 0.5) * (K294-K293) + K293</f>
        <v>0.1456563062</v>
      </c>
      <c r="V298" s="99">
        <f>(1 / (1 + EXP(-K295*(-0.3))) + 0.5) * (K294-K293) + K293</f>
        <v>0.8543436938</v>
      </c>
      <c r="W298" s="100"/>
      <c r="X298" s="100"/>
      <c r="Y298" s="101"/>
      <c r="Z298" s="102"/>
    </row>
    <row r="299" ht="14.25" customHeight="1">
      <c r="H299" s="103" t="str">
        <f>H298+(I294-I293)/10</f>
        <v>#REF!</v>
      </c>
      <c r="I299" s="61">
        <f>OFFSET(L297,0,I292,1,1)</f>
        <v>0.2</v>
      </c>
      <c r="M299" s="98">
        <f>M298+(M305-M295)/10</f>
        <v>0.4</v>
      </c>
      <c r="N299" s="61">
        <f>N298-(N295-N305)/10</f>
        <v>0.6</v>
      </c>
      <c r="O299" s="61">
        <f>(1 - POWER(0.6,K295)) * (K294-K293) + K293</f>
        <v>0.64</v>
      </c>
      <c r="P299" s="61">
        <f>(1 - POWER(0.4,K295)) * (K294-K293) + K293</f>
        <v>0.84</v>
      </c>
      <c r="Q299" s="61">
        <f>POWER(0.4,K295) * (K294-K293)+K293</f>
        <v>0.16</v>
      </c>
      <c r="R299" s="61">
        <f>POWER(0.6,K295) * (K294-K293)+K293</f>
        <v>0.36</v>
      </c>
      <c r="S299" s="61">
        <f>(1 / (1 + EXP(-K295*(-0.1)))) * (K294-K293) + K293</f>
        <v>0.4501660027</v>
      </c>
      <c r="T299" s="61">
        <f>(1 / (1 + EXP(-K295*(0.1)))) * (K294-K293) + K293</f>
        <v>0.5498339973</v>
      </c>
      <c r="U299" s="61">
        <f>(1 / (1 + EXP(-K295*(0.4))) - 0.5) * (K294-K293) + K293</f>
        <v>0.1899744811</v>
      </c>
      <c r="V299" s="99">
        <f>(1 / (1 + EXP(-K295*(-0.4))) + 0.5) * (K294-K293) + K293</f>
        <v>0.8100255189</v>
      </c>
      <c r="W299" s="100"/>
      <c r="X299" s="100"/>
      <c r="Y299" s="101"/>
      <c r="Z299" s="102"/>
    </row>
    <row r="300" ht="14.25" customHeight="1">
      <c r="H300" s="103" t="str">
        <f>H299+(I294-I293)/10</f>
        <v>#REF!</v>
      </c>
      <c r="I300" s="61">
        <f>OFFSET(L298,0,I292,1,1)</f>
        <v>0.3</v>
      </c>
      <c r="M300" s="98">
        <f>M299+(M305-M295)/10</f>
        <v>0.5</v>
      </c>
      <c r="N300" s="61">
        <f>N299-(N295-N305)/10</f>
        <v>0.5</v>
      </c>
      <c r="O300" s="61">
        <f>(1 - POWER(0.5,K295)) * (K294-K293) + K293</f>
        <v>0.75</v>
      </c>
      <c r="P300" s="61">
        <f>(1 - POWER(0.5,K295)) * (K294-K293) + K293</f>
        <v>0.75</v>
      </c>
      <c r="Q300" s="61">
        <f>POWER(0.5,K295) * (K294-K293)+K293</f>
        <v>0.25</v>
      </c>
      <c r="R300" s="61">
        <f>POWER(0.5,K295) * (K294-K293)+K293</f>
        <v>0.25</v>
      </c>
      <c r="S300" s="61">
        <f>(1 / (1 + EXP(-K295*(0)))) * (K294-K293) + K293</f>
        <v>0.5</v>
      </c>
      <c r="T300" s="61">
        <f>(1 / (1 + EXP(-K295*(0)))) * (K294-K293) + K293</f>
        <v>0.5</v>
      </c>
      <c r="U300" s="61">
        <f>(1 / (1 + EXP(-K295*(0.5))) - 0.5) * (K294-K293) + K293</f>
        <v>0.2310585786</v>
      </c>
      <c r="V300" s="99">
        <f>(1 / (1 + EXP(-K295*(0.5))) - 0.5) * (K294-K293) + K293</f>
        <v>0.2310585786</v>
      </c>
      <c r="W300" s="100"/>
      <c r="X300" s="100"/>
      <c r="Y300" s="101"/>
      <c r="Z300" s="102"/>
    </row>
    <row r="301" ht="14.25" customHeight="1">
      <c r="H301" s="103" t="str">
        <f>H300+(I294-I293)/10</f>
        <v>#REF!</v>
      </c>
      <c r="I301" s="61">
        <f>OFFSET(L299,0,I292,1,1)</f>
        <v>0.4</v>
      </c>
      <c r="M301" s="98">
        <f>M300+(M305-M295)/10</f>
        <v>0.6</v>
      </c>
      <c r="N301" s="61">
        <f>N300-(N295-N305)/10</f>
        <v>0.4</v>
      </c>
      <c r="O301" s="61">
        <f>(1 - POWER(0.4,K295)) * (K294-K293) + K293</f>
        <v>0.84</v>
      </c>
      <c r="P301" s="61">
        <f>(1 - POWER(0.6,K295)) * (K294-K293) + K293</f>
        <v>0.64</v>
      </c>
      <c r="Q301" s="61">
        <f>POWER(0.6,K295) * (K294-K293)+K293</f>
        <v>0.36</v>
      </c>
      <c r="R301" s="61">
        <f>POWER(0.4,K295) * (K294-K293)+K293</f>
        <v>0.16</v>
      </c>
      <c r="S301" s="61">
        <f>(1 / (1 + EXP(-K295*(0.1)))) * (K294-K293) + K293</f>
        <v>0.5498339973</v>
      </c>
      <c r="T301" s="61">
        <f>(1 / (1 + EXP(-K295*(-0.1)))) * (K294-K293) + K293</f>
        <v>0.4501660027</v>
      </c>
      <c r="U301" s="61">
        <f>(1 / (1 + EXP(-K295*(-0.4))) + 0.5) * (K294-K293) + K293</f>
        <v>0.8100255189</v>
      </c>
      <c r="V301" s="99">
        <f>(1 / (1 + EXP(-K295*(0.4))) - 0.5) * (K294-K293) + K293</f>
        <v>0.1899744811</v>
      </c>
      <c r="W301" s="100"/>
      <c r="X301" s="100"/>
      <c r="Y301" s="101"/>
      <c r="Z301" s="102"/>
    </row>
    <row r="302" ht="14.25" customHeight="1">
      <c r="H302" s="103" t="str">
        <f>H301+(I294-I293)/10</f>
        <v>#REF!</v>
      </c>
      <c r="I302" s="61">
        <f>OFFSET(L300,0,I292,1,1)</f>
        <v>0.5</v>
      </c>
      <c r="M302" s="98">
        <f>M301+(M305-M295)/10</f>
        <v>0.7</v>
      </c>
      <c r="N302" s="61">
        <f>N301-(N295-N305)/10</f>
        <v>0.3</v>
      </c>
      <c r="O302" s="61">
        <f>(1 - POWER(0.3,K295)) * (K294-K293) + K293</f>
        <v>0.91</v>
      </c>
      <c r="P302" s="61">
        <f>(1 - POWER(0.7,K295)) * (K294-K293) + K293</f>
        <v>0.51</v>
      </c>
      <c r="Q302" s="61">
        <f>POWER(0.7,K295) * (K294-K293)+K293</f>
        <v>0.49</v>
      </c>
      <c r="R302" s="61">
        <f>POWER(0.3,K295) * (K294-K293)+K293</f>
        <v>0.09</v>
      </c>
      <c r="S302" s="61">
        <f>(1 / (1 + EXP(-K295*(0.2)))) * (K294-K293) + K293</f>
        <v>0.5986876601</v>
      </c>
      <c r="T302" s="61">
        <f>(1 / (1 + EXP(-K295*(-0.2)))) * (K294-K293) + K293</f>
        <v>0.4013123399</v>
      </c>
      <c r="U302" s="61">
        <f>(1 / (1 + EXP(-K295*(-0.3))) + 0.5) * (K294-K293) + K293</f>
        <v>0.8543436938</v>
      </c>
      <c r="V302" s="99">
        <f>(1 / (1 + EXP(-K295*(0.3))) - 0.5) * (K294-K293) + K293</f>
        <v>0.1456563062</v>
      </c>
      <c r="W302" s="100"/>
      <c r="X302" s="100"/>
      <c r="Y302" s="101"/>
      <c r="Z302" s="102"/>
    </row>
    <row r="303" ht="14.25" customHeight="1">
      <c r="H303" s="103" t="str">
        <f>H302+(I294-I293)/10</f>
        <v>#REF!</v>
      </c>
      <c r="I303" s="61">
        <f>OFFSET(L301,0,I292,1,1)</f>
        <v>0.6</v>
      </c>
      <c r="M303" s="98">
        <f>M302+(M305-M295)/10</f>
        <v>0.8</v>
      </c>
      <c r="N303" s="61">
        <f>N302-(N295-N305)/10</f>
        <v>0.2</v>
      </c>
      <c r="O303" s="61">
        <f>(1 - POWER(0.2,K295)) * (K294-K293) + K293</f>
        <v>0.96</v>
      </c>
      <c r="P303" s="61">
        <f>(1 - POWER(0.8,K295)) * (K294-K293) + K293</f>
        <v>0.36</v>
      </c>
      <c r="Q303" s="61">
        <f>POWER(0.8,K295) * (K294-K293)+K293</f>
        <v>0.64</v>
      </c>
      <c r="R303" s="61">
        <f>POWER(0.2,K295) * (K294-K293)+K293</f>
        <v>0.04</v>
      </c>
      <c r="S303" s="61">
        <f>(1 / (1 + EXP(-K295*(0.3)))) * (K294-K293) + K293</f>
        <v>0.6456563062</v>
      </c>
      <c r="T303" s="61">
        <f>(1 / (1 + EXP(-K295*(-0.3)))) * (K294-K293) + K293</f>
        <v>0.3543436938</v>
      </c>
      <c r="U303" s="61">
        <f>(1 / (1 + EXP(-K295*(-0.2))) + 0.5) * (K294-K293) + K293</f>
        <v>0.9013123399</v>
      </c>
      <c r="V303" s="99">
        <f>(1 / (1 + EXP(-K295*(0.2))) - 0.5) *  (K294-K293) + K293</f>
        <v>0.09868766011</v>
      </c>
      <c r="W303" s="100"/>
      <c r="X303" s="100"/>
      <c r="Y303" s="101"/>
      <c r="Z303" s="102"/>
    </row>
    <row r="304" ht="14.25" customHeight="1">
      <c r="H304" s="103" t="str">
        <f>H303+(I294-I293)/10</f>
        <v>#REF!</v>
      </c>
      <c r="I304" s="61">
        <f>OFFSET(L302,0,I292,1,1)</f>
        <v>0.7</v>
      </c>
      <c r="M304" s="98">
        <f>M303+(M305-M295)/10</f>
        <v>0.9</v>
      </c>
      <c r="N304" s="61">
        <f>N303-(N295-N305)/10</f>
        <v>0.1</v>
      </c>
      <c r="O304" s="61">
        <f>(1 - POWER(0.1,K295)) * (K294-K293) + K293</f>
        <v>0.99</v>
      </c>
      <c r="P304" s="61">
        <f>(1 - POWER(0.9,K295)) * (K294-K293) + K293</f>
        <v>0.19</v>
      </c>
      <c r="Q304" s="61">
        <f>POWER(0.9,K295) * (K294-K293)+K293</f>
        <v>0.81</v>
      </c>
      <c r="R304" s="61">
        <f>POWER(0.1,K295) * (K294-K293)+K293</f>
        <v>0.01</v>
      </c>
      <c r="S304" s="61">
        <f>(1 / (1 + EXP(-K295*(0.4)))) * (K294-K293) + K293</f>
        <v>0.6899744811</v>
      </c>
      <c r="T304" s="61">
        <f>(1 / (1 + EXP(-K295*(-0.4)))) * (K294-K293) + K293</f>
        <v>0.3100255189</v>
      </c>
      <c r="U304" s="61">
        <f>(1 / (1 + EXP(-K295*(-0.1))) + 0.5) * (K294-K293) + K293</f>
        <v>0.9501660027</v>
      </c>
      <c r="V304" s="99">
        <f>(1 / (1 + EXP(-K295*(0.1))) - 0.5) * (K294-K293) + K293</f>
        <v>0.04983399731</v>
      </c>
      <c r="W304" s="100"/>
      <c r="X304" s="100"/>
      <c r="Y304" s="101"/>
      <c r="Z304" s="102"/>
    </row>
    <row r="305" ht="14.25" customHeight="1">
      <c r="H305" s="103" t="str">
        <f>H304+(I294-I293)/10</f>
        <v>#REF!</v>
      </c>
      <c r="I305" s="61">
        <f>OFFSET(L303,0,I292,1,1)</f>
        <v>0.8</v>
      </c>
      <c r="M305" s="104">
        <f>K294</f>
        <v>1</v>
      </c>
      <c r="N305" s="105">
        <f>K293</f>
        <v>0</v>
      </c>
      <c r="O305" s="105">
        <f>K294</f>
        <v>1</v>
      </c>
      <c r="P305" s="105">
        <f>K293</f>
        <v>0</v>
      </c>
      <c r="Q305" s="105">
        <f>K294</f>
        <v>1</v>
      </c>
      <c r="R305" s="105">
        <f>K293</f>
        <v>0</v>
      </c>
      <c r="S305" s="105">
        <f>K294</f>
        <v>1</v>
      </c>
      <c r="T305" s="105">
        <f>K293</f>
        <v>0</v>
      </c>
      <c r="U305" s="105">
        <f>K294</f>
        <v>1</v>
      </c>
      <c r="V305" s="106">
        <f>K293</f>
        <v>0</v>
      </c>
      <c r="W305" s="107"/>
      <c r="X305" s="107"/>
      <c r="Y305" s="108"/>
      <c r="Z305" s="109"/>
    </row>
    <row r="306" ht="14.25" customHeight="1">
      <c r="H306" s="103" t="str">
        <f>H305+(I294-I293)/10</f>
        <v>#REF!</v>
      </c>
      <c r="I306" s="61">
        <f>OFFSET(L304,0,I292,1,1)</f>
        <v>0.9</v>
      </c>
    </row>
    <row r="307" ht="14.25" customHeight="1">
      <c r="H307" s="103" t="str">
        <f>I294</f>
        <v>#REF!</v>
      </c>
      <c r="I307" s="61">
        <f>OFFSET(L305,0,I292,1,1)</f>
        <v>1</v>
      </c>
    </row>
    <row r="308" ht="14.25" customHeight="1">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ht="14.25" customHeight="1"/>
    <row r="310" ht="14.25" customHeight="1">
      <c r="H310" s="72" t="s">
        <v>50</v>
      </c>
      <c r="I310" s="73">
        <v>1.0</v>
      </c>
      <c r="J310" s="73"/>
      <c r="K310" s="74"/>
      <c r="M310" s="75" t="s">
        <v>51</v>
      </c>
      <c r="N310" s="54"/>
      <c r="O310" s="54"/>
      <c r="P310" s="54"/>
      <c r="Q310" s="54"/>
      <c r="R310" s="54"/>
      <c r="S310" s="54"/>
      <c r="T310" s="54"/>
      <c r="U310" s="54"/>
      <c r="V310" s="55"/>
      <c r="W310" s="76" t="s">
        <v>52</v>
      </c>
      <c r="X310" s="77"/>
      <c r="Y310" s="76" t="s">
        <v>53</v>
      </c>
      <c r="Z310" s="77"/>
    </row>
    <row r="311" ht="14.25" customHeight="1">
      <c r="H311" s="78" t="s">
        <v>54</v>
      </c>
      <c r="I311" s="79" t="str">
        <f t="shared" ref="I311:I312" si="10">#REF!</f>
        <v>#REF!</v>
      </c>
      <c r="J311" s="80" t="s">
        <v>55</v>
      </c>
      <c r="K311" s="81">
        <v>0.0</v>
      </c>
      <c r="M311" s="58" t="s">
        <v>56</v>
      </c>
      <c r="N311" s="27"/>
      <c r="O311" s="58" t="s">
        <v>57</v>
      </c>
      <c r="P311" s="27"/>
      <c r="Q311" s="58" t="s">
        <v>58</v>
      </c>
      <c r="R311" s="27"/>
      <c r="S311" s="58" t="s">
        <v>59</v>
      </c>
      <c r="T311" s="27"/>
      <c r="U311" s="58" t="s">
        <v>60</v>
      </c>
      <c r="V311" s="27"/>
      <c r="W311" s="82"/>
      <c r="X311" s="83"/>
      <c r="Y311" s="82"/>
      <c r="Z311" s="83"/>
    </row>
    <row r="312" ht="14.25" customHeight="1">
      <c r="H312" s="78" t="s">
        <v>61</v>
      </c>
      <c r="I312" s="79" t="str">
        <f t="shared" si="10"/>
        <v>#REF!</v>
      </c>
      <c r="J312" s="80" t="s">
        <v>62</v>
      </c>
      <c r="K312" s="81">
        <v>1.0</v>
      </c>
      <c r="M312" s="84" t="s">
        <v>63</v>
      </c>
      <c r="N312" s="85" t="s">
        <v>64</v>
      </c>
      <c r="O312" s="84" t="s">
        <v>63</v>
      </c>
      <c r="P312" s="85" t="s">
        <v>64</v>
      </c>
      <c r="Q312" s="84" t="s">
        <v>63</v>
      </c>
      <c r="R312" s="85" t="s">
        <v>64</v>
      </c>
      <c r="S312" s="84" t="s">
        <v>63</v>
      </c>
      <c r="T312" s="85" t="s">
        <v>64</v>
      </c>
      <c r="U312" s="84" t="s">
        <v>63</v>
      </c>
      <c r="V312" s="85" t="s">
        <v>64</v>
      </c>
      <c r="W312" s="86" t="s">
        <v>65</v>
      </c>
      <c r="X312" s="86" t="s">
        <v>66</v>
      </c>
      <c r="Y312" s="86" t="s">
        <v>67</v>
      </c>
      <c r="Z312" s="87" t="s">
        <v>68</v>
      </c>
    </row>
    <row r="313" ht="14.25" customHeight="1">
      <c r="H313" s="88"/>
      <c r="I313" s="89"/>
      <c r="J313" s="90" t="s">
        <v>69</v>
      </c>
      <c r="K313" s="91">
        <v>2.0</v>
      </c>
      <c r="M313" s="92">
        <f>K311</f>
        <v>0</v>
      </c>
      <c r="N313" s="93">
        <f>K312</f>
        <v>1</v>
      </c>
      <c r="O313" s="93">
        <f>K311</f>
        <v>0</v>
      </c>
      <c r="P313" s="93">
        <f>K312</f>
        <v>1</v>
      </c>
      <c r="Q313" s="93">
        <f>K311</f>
        <v>0</v>
      </c>
      <c r="R313" s="93">
        <f>K312</f>
        <v>1</v>
      </c>
      <c r="S313" s="93">
        <f>K311</f>
        <v>0</v>
      </c>
      <c r="T313" s="93">
        <f>K312</f>
        <v>1</v>
      </c>
      <c r="U313" s="93">
        <f>K311</f>
        <v>0</v>
      </c>
      <c r="V313" s="94">
        <f>K312</f>
        <v>1</v>
      </c>
      <c r="W313" s="95"/>
      <c r="X313" s="95"/>
      <c r="Y313" s="96"/>
      <c r="Z313" s="97"/>
    </row>
    <row r="314" ht="14.25" customHeight="1">
      <c r="H314" s="63" t="s">
        <v>70</v>
      </c>
      <c r="I314" s="63" t="s">
        <v>68</v>
      </c>
      <c r="M314" s="98">
        <f>M313+(M323-M313)/10</f>
        <v>0.1</v>
      </c>
      <c r="N314" s="61">
        <f>N313-(N313-N323)/10</f>
        <v>0.9</v>
      </c>
      <c r="O314" s="61">
        <f>(1 - POWER(0.9,K313)) * (K312-K311) + K311</f>
        <v>0.19</v>
      </c>
      <c r="P314" s="61">
        <f>(1 - POWER(0.1,K313)) * (K312-K311) + K311</f>
        <v>0.99</v>
      </c>
      <c r="Q314" s="61">
        <f>POWER(0.1,K313) * (K312-K311)+K311</f>
        <v>0.01</v>
      </c>
      <c r="R314" s="61">
        <f>POWER(0.9,K313) * (K312-K311)+K311</f>
        <v>0.81</v>
      </c>
      <c r="S314" s="61">
        <f>(1 / (1 + EXP(-K313*(-0.4)))) * (K312-K311) + K311</f>
        <v>0.3100255189</v>
      </c>
      <c r="T314" s="61">
        <f>(1 / (1 + EXP(-K313*(0.4)))) * (K312-K311) + K311</f>
        <v>0.6899744811</v>
      </c>
      <c r="U314" s="61">
        <f>(1 / (1 + EXP(-K313*(0.1))) - 0.5) * (K312-K311) + K311</f>
        <v>0.04983399731</v>
      </c>
      <c r="V314" s="99">
        <f>(1 / (1 + EXP(-K313*(-0.1))) + 0.5) * (K312-K311) + K311</f>
        <v>0.9501660027</v>
      </c>
      <c r="W314" s="100"/>
      <c r="X314" s="100"/>
      <c r="Y314" s="101"/>
      <c r="Z314" s="102"/>
    </row>
    <row r="315" ht="14.25" customHeight="1">
      <c r="H315" s="103" t="str">
        <f>I311</f>
        <v>#REF!</v>
      </c>
      <c r="I315" s="61">
        <f>OFFSET(L313,0,I310,1,1)</f>
        <v>0</v>
      </c>
      <c r="M315" s="98">
        <f>M314+(M323-M313)/10</f>
        <v>0.2</v>
      </c>
      <c r="N315" s="61">
        <f>N314-(N313-N323)/10</f>
        <v>0.8</v>
      </c>
      <c r="O315" s="61">
        <f>(1 - POWER(0.8,K313)) * (K312-K311) + K311</f>
        <v>0.36</v>
      </c>
      <c r="P315" s="61">
        <f>(1 - POWER(0.2,K313)) * (K312-K311) + K311</f>
        <v>0.96</v>
      </c>
      <c r="Q315" s="61">
        <f>POWER(0.2,K313) * (K312-K311)+K311</f>
        <v>0.04</v>
      </c>
      <c r="R315" s="61">
        <f>POWER(0.8,K313) * (K312-K311)+K311</f>
        <v>0.64</v>
      </c>
      <c r="S315" s="61">
        <f>(1 / (1 + EXP(-K313*(-0.3)))) * (K312-K311) + K311</f>
        <v>0.3543436938</v>
      </c>
      <c r="T315" s="61">
        <f>(1 / (1 + EXP(-K313*(0.3)))) * (K312-K311) + K311</f>
        <v>0.6456563062</v>
      </c>
      <c r="U315" s="61">
        <f>(1 / (1 + EXP(-K313*(0.2))) - 0.5) *  (K312-K311) + K311</f>
        <v>0.09868766011</v>
      </c>
      <c r="V315" s="99">
        <f>(1 / (1 + EXP(-K313*(-0.2))) + 0.5) * (K312-K311) + K311</f>
        <v>0.9013123399</v>
      </c>
      <c r="W315" s="100"/>
      <c r="X315" s="100"/>
      <c r="Y315" s="101"/>
      <c r="Z315" s="102"/>
    </row>
    <row r="316" ht="14.25" customHeight="1">
      <c r="H316" s="103" t="str">
        <f>H315+(I312-I311)/10</f>
        <v>#REF!</v>
      </c>
      <c r="I316" s="61">
        <f>OFFSET(L314,0,I310,1,1)</f>
        <v>0.1</v>
      </c>
      <c r="M316" s="98">
        <f>M315+(M323-M313)/10</f>
        <v>0.3</v>
      </c>
      <c r="N316" s="61">
        <f>N315-(N313-N323)/10</f>
        <v>0.7</v>
      </c>
      <c r="O316" s="61">
        <f>(1 - POWER(0.7,K313)) * (K312-K311) + K311</f>
        <v>0.51</v>
      </c>
      <c r="P316" s="61">
        <f>(1 - POWER(0.3,K313)) * (K312-K311) + K311</f>
        <v>0.91</v>
      </c>
      <c r="Q316" s="61">
        <f>POWER(0.3,K313) * (K312-K311)+K311</f>
        <v>0.09</v>
      </c>
      <c r="R316" s="61">
        <f>POWER(0.7,K313) * (K312-K311)+K311</f>
        <v>0.49</v>
      </c>
      <c r="S316" s="61">
        <f>(1 / (1 + EXP(-K313*(-0.2)))) * (K312-K311) + K311</f>
        <v>0.4013123399</v>
      </c>
      <c r="T316" s="61">
        <f>(1 / (1 + EXP(-K313*(0.2)))) * (K312-K311) + K311</f>
        <v>0.5986876601</v>
      </c>
      <c r="U316" s="61">
        <f>(1 / (1 + EXP(-K313*(0.3))) - 0.5) * (K312-K311) + K311</f>
        <v>0.1456563062</v>
      </c>
      <c r="V316" s="99">
        <f>(1 / (1 + EXP(-K313*(-0.3))) + 0.5) * (K312-K311) + K311</f>
        <v>0.8543436938</v>
      </c>
      <c r="W316" s="100"/>
      <c r="X316" s="100"/>
      <c r="Y316" s="101"/>
      <c r="Z316" s="102"/>
    </row>
    <row r="317" ht="14.25" customHeight="1">
      <c r="H317" s="103" t="str">
        <f>H316+(I312-I311)/10</f>
        <v>#REF!</v>
      </c>
      <c r="I317" s="61">
        <f>OFFSET(L315,0,I310,1,1)</f>
        <v>0.2</v>
      </c>
      <c r="M317" s="98">
        <f>M316+(M323-M313)/10</f>
        <v>0.4</v>
      </c>
      <c r="N317" s="61">
        <f>N316-(N313-N323)/10</f>
        <v>0.6</v>
      </c>
      <c r="O317" s="61">
        <f>(1 - POWER(0.6,K313)) * (K312-K311) + K311</f>
        <v>0.64</v>
      </c>
      <c r="P317" s="61">
        <f>(1 - POWER(0.4,K313)) * (K312-K311) + K311</f>
        <v>0.84</v>
      </c>
      <c r="Q317" s="61">
        <f>POWER(0.4,K313) * (K312-K311)+K311</f>
        <v>0.16</v>
      </c>
      <c r="R317" s="61">
        <f>POWER(0.6,K313) * (K312-K311)+K311</f>
        <v>0.36</v>
      </c>
      <c r="S317" s="61">
        <f>(1 / (1 + EXP(-K313*(-0.1)))) * (K312-K311) + K311</f>
        <v>0.4501660027</v>
      </c>
      <c r="T317" s="61">
        <f>(1 / (1 + EXP(-K313*(0.1)))) * (K312-K311) + K311</f>
        <v>0.5498339973</v>
      </c>
      <c r="U317" s="61">
        <f>(1 / (1 + EXP(-K313*(0.4))) - 0.5) * (K312-K311) + K311</f>
        <v>0.1899744811</v>
      </c>
      <c r="V317" s="99">
        <f>(1 / (1 + EXP(-K313*(-0.4))) + 0.5) * (K312-K311) + K311</f>
        <v>0.8100255189</v>
      </c>
      <c r="W317" s="100"/>
      <c r="X317" s="100"/>
      <c r="Y317" s="101"/>
      <c r="Z317" s="102"/>
    </row>
    <row r="318" ht="14.25" customHeight="1">
      <c r="H318" s="103" t="str">
        <f>H317+(I312-I311)/10</f>
        <v>#REF!</v>
      </c>
      <c r="I318" s="61">
        <f>OFFSET(L316,0,I310,1,1)</f>
        <v>0.3</v>
      </c>
      <c r="M318" s="98">
        <f>M317+(M323-M313)/10</f>
        <v>0.5</v>
      </c>
      <c r="N318" s="61">
        <f>N317-(N313-N323)/10</f>
        <v>0.5</v>
      </c>
      <c r="O318" s="61">
        <f>(1 - POWER(0.5,K313)) * (K312-K311) + K311</f>
        <v>0.75</v>
      </c>
      <c r="P318" s="61">
        <f>(1 - POWER(0.5,K313)) * (K312-K311) + K311</f>
        <v>0.75</v>
      </c>
      <c r="Q318" s="61">
        <f>POWER(0.5,K313) * (K312-K311)+K311</f>
        <v>0.25</v>
      </c>
      <c r="R318" s="61">
        <f>POWER(0.5,K313) * (K312-K311)+K311</f>
        <v>0.25</v>
      </c>
      <c r="S318" s="61">
        <f>(1 / (1 + EXP(-K313*(0)))) * (K312-K311) + K311</f>
        <v>0.5</v>
      </c>
      <c r="T318" s="61">
        <f>(1 / (1 + EXP(-K313*(0)))) * (K312-K311) + K311</f>
        <v>0.5</v>
      </c>
      <c r="U318" s="61">
        <f>(1 / (1 + EXP(-K313*(0.5))) - 0.5) * (K312-K311) + K311</f>
        <v>0.2310585786</v>
      </c>
      <c r="V318" s="99">
        <f>(1 / (1 + EXP(-K313*(0.5))) - 0.5) * (K312-K311) + K311</f>
        <v>0.2310585786</v>
      </c>
      <c r="W318" s="100"/>
      <c r="X318" s="100"/>
      <c r="Y318" s="101"/>
      <c r="Z318" s="102"/>
    </row>
    <row r="319" ht="14.25" customHeight="1">
      <c r="H319" s="103" t="str">
        <f>H318+(I312-I311)/10</f>
        <v>#REF!</v>
      </c>
      <c r="I319" s="61">
        <f>OFFSET(L317,0,I310,1,1)</f>
        <v>0.4</v>
      </c>
      <c r="M319" s="98">
        <f>M318+(M323-M313)/10</f>
        <v>0.6</v>
      </c>
      <c r="N319" s="61">
        <f>N318-(N313-N323)/10</f>
        <v>0.4</v>
      </c>
      <c r="O319" s="61">
        <f>(1 - POWER(0.4,K313)) * (K312-K311) + K311</f>
        <v>0.84</v>
      </c>
      <c r="P319" s="61">
        <f>(1 - POWER(0.6,K313)) * (K312-K311) + K311</f>
        <v>0.64</v>
      </c>
      <c r="Q319" s="61">
        <f>POWER(0.6,K313) * (K312-K311)+K311</f>
        <v>0.36</v>
      </c>
      <c r="R319" s="61">
        <f>POWER(0.4,K313) * (K312-K311)+K311</f>
        <v>0.16</v>
      </c>
      <c r="S319" s="61">
        <f>(1 / (1 + EXP(-K313*(0.1)))) * (K312-K311) + K311</f>
        <v>0.5498339973</v>
      </c>
      <c r="T319" s="61">
        <f>(1 / (1 + EXP(-K313*(-0.1)))) * (K312-K311) + K311</f>
        <v>0.4501660027</v>
      </c>
      <c r="U319" s="61">
        <f>(1 / (1 + EXP(-K313*(-0.4))) + 0.5) * (K312-K311) + K311</f>
        <v>0.8100255189</v>
      </c>
      <c r="V319" s="99">
        <f>(1 / (1 + EXP(-K313*(0.4))) - 0.5) * (K312-K311) + K311</f>
        <v>0.1899744811</v>
      </c>
      <c r="W319" s="100"/>
      <c r="X319" s="100"/>
      <c r="Y319" s="101"/>
      <c r="Z319" s="102"/>
    </row>
    <row r="320" ht="14.25" customHeight="1">
      <c r="H320" s="103" t="str">
        <f>H319+(I312-I311)/10</f>
        <v>#REF!</v>
      </c>
      <c r="I320" s="61">
        <f>OFFSET(L318,0,I310,1,1)</f>
        <v>0.5</v>
      </c>
      <c r="M320" s="98">
        <f>M319+(M323-M313)/10</f>
        <v>0.7</v>
      </c>
      <c r="N320" s="61">
        <f>N319-(N313-N323)/10</f>
        <v>0.3</v>
      </c>
      <c r="O320" s="61">
        <f>(1 - POWER(0.3,K313)) * (K312-K311) + K311</f>
        <v>0.91</v>
      </c>
      <c r="P320" s="61">
        <f>(1 - POWER(0.7,K313)) * (K312-K311) + K311</f>
        <v>0.51</v>
      </c>
      <c r="Q320" s="61">
        <f>POWER(0.7,K313) * (K312-K311)+K311</f>
        <v>0.49</v>
      </c>
      <c r="R320" s="61">
        <f>POWER(0.3,K313) * (K312-K311)+K311</f>
        <v>0.09</v>
      </c>
      <c r="S320" s="61">
        <f>(1 / (1 + EXP(-K313*(0.2)))) * (K312-K311) + K311</f>
        <v>0.5986876601</v>
      </c>
      <c r="T320" s="61">
        <f>(1 / (1 + EXP(-K313*(-0.2)))) * (K312-K311) + K311</f>
        <v>0.4013123399</v>
      </c>
      <c r="U320" s="61">
        <f>(1 / (1 + EXP(-K313*(-0.3))) + 0.5) * (K312-K311) + K311</f>
        <v>0.8543436938</v>
      </c>
      <c r="V320" s="99">
        <f>(1 / (1 + EXP(-K313*(0.3))) - 0.5) * (K312-K311) + K311</f>
        <v>0.1456563062</v>
      </c>
      <c r="W320" s="100"/>
      <c r="X320" s="100"/>
      <c r="Y320" s="101"/>
      <c r="Z320" s="102"/>
    </row>
    <row r="321" ht="14.25" customHeight="1">
      <c r="H321" s="103" t="str">
        <f>H320+(I312-I311)/10</f>
        <v>#REF!</v>
      </c>
      <c r="I321" s="61">
        <f>OFFSET(L319,0,I310,1,1)</f>
        <v>0.6</v>
      </c>
      <c r="M321" s="98">
        <f>M320+(M323-M313)/10</f>
        <v>0.8</v>
      </c>
      <c r="N321" s="61">
        <f>N320-(N313-N323)/10</f>
        <v>0.2</v>
      </c>
      <c r="O321" s="61">
        <f>(1 - POWER(0.2,K313)) * (K312-K311) + K311</f>
        <v>0.96</v>
      </c>
      <c r="P321" s="61">
        <f>(1 - POWER(0.8,K313)) * (K312-K311) + K311</f>
        <v>0.36</v>
      </c>
      <c r="Q321" s="61">
        <f>POWER(0.8,K313) * (K312-K311)+K311</f>
        <v>0.64</v>
      </c>
      <c r="R321" s="61">
        <f>POWER(0.2,K313) * (K312-K311)+K311</f>
        <v>0.04</v>
      </c>
      <c r="S321" s="61">
        <f>(1 / (1 + EXP(-K313*(0.3)))) * (K312-K311) + K311</f>
        <v>0.6456563062</v>
      </c>
      <c r="T321" s="61">
        <f>(1 / (1 + EXP(-K313*(-0.3)))) * (K312-K311) + K311</f>
        <v>0.3543436938</v>
      </c>
      <c r="U321" s="61">
        <f>(1 / (1 + EXP(-K313*(-0.2))) + 0.5) * (K312-K311) + K311</f>
        <v>0.9013123399</v>
      </c>
      <c r="V321" s="99">
        <f>(1 / (1 + EXP(-K313*(0.2))) - 0.5) *  (K312-K311) + K311</f>
        <v>0.09868766011</v>
      </c>
      <c r="W321" s="100"/>
      <c r="X321" s="100"/>
      <c r="Y321" s="101"/>
      <c r="Z321" s="102"/>
    </row>
    <row r="322" ht="14.25" customHeight="1">
      <c r="H322" s="103" t="str">
        <f>H321+(I312-I311)/10</f>
        <v>#REF!</v>
      </c>
      <c r="I322" s="61">
        <f>OFFSET(L320,0,I310,1,1)</f>
        <v>0.7</v>
      </c>
      <c r="M322" s="98">
        <f>M321+(M323-M313)/10</f>
        <v>0.9</v>
      </c>
      <c r="N322" s="61">
        <f>N321-(N313-N323)/10</f>
        <v>0.1</v>
      </c>
      <c r="O322" s="61">
        <f>(1 - POWER(0.1,K313)) * (K312-K311) + K311</f>
        <v>0.99</v>
      </c>
      <c r="P322" s="61">
        <f>(1 - POWER(0.9,K313)) * (K312-K311) + K311</f>
        <v>0.19</v>
      </c>
      <c r="Q322" s="61">
        <f>POWER(0.9,K313) * (K312-K311)+K311</f>
        <v>0.81</v>
      </c>
      <c r="R322" s="61">
        <f>POWER(0.1,K313) * (K312-K311)+K311</f>
        <v>0.01</v>
      </c>
      <c r="S322" s="61">
        <f>(1 / (1 + EXP(-K313*(0.4)))) * (K312-K311) + K311</f>
        <v>0.6899744811</v>
      </c>
      <c r="T322" s="61">
        <f>(1 / (1 + EXP(-K313*(-0.4)))) * (K312-K311) + K311</f>
        <v>0.3100255189</v>
      </c>
      <c r="U322" s="61">
        <f>(1 / (1 + EXP(-K313*(-0.1))) + 0.5) * (K312-K311) + K311</f>
        <v>0.9501660027</v>
      </c>
      <c r="V322" s="99">
        <f>(1 / (1 + EXP(-K313*(0.1))) - 0.5) * (K312-K311) + K311</f>
        <v>0.04983399731</v>
      </c>
      <c r="W322" s="100"/>
      <c r="X322" s="100"/>
      <c r="Y322" s="101"/>
      <c r="Z322" s="102"/>
    </row>
    <row r="323" ht="14.25" customHeight="1">
      <c r="H323" s="103" t="str">
        <f>H322+(I312-I311)/10</f>
        <v>#REF!</v>
      </c>
      <c r="I323" s="61">
        <f>OFFSET(L321,0,I310,1,1)</f>
        <v>0.8</v>
      </c>
      <c r="M323" s="104">
        <f>K312</f>
        <v>1</v>
      </c>
      <c r="N323" s="105">
        <f>K311</f>
        <v>0</v>
      </c>
      <c r="O323" s="105">
        <f>K312</f>
        <v>1</v>
      </c>
      <c r="P323" s="105">
        <f>K311</f>
        <v>0</v>
      </c>
      <c r="Q323" s="105">
        <f>K312</f>
        <v>1</v>
      </c>
      <c r="R323" s="105">
        <f>K311</f>
        <v>0</v>
      </c>
      <c r="S323" s="105">
        <f>K312</f>
        <v>1</v>
      </c>
      <c r="T323" s="105">
        <f>K311</f>
        <v>0</v>
      </c>
      <c r="U323" s="105">
        <f>K312</f>
        <v>1</v>
      </c>
      <c r="V323" s="106">
        <f>K311</f>
        <v>0</v>
      </c>
      <c r="W323" s="107"/>
      <c r="X323" s="107"/>
      <c r="Y323" s="108"/>
      <c r="Z323" s="109"/>
    </row>
    <row r="324" ht="14.25" customHeight="1">
      <c r="H324" s="103" t="str">
        <f>H323+(I312-I311)/10</f>
        <v>#REF!</v>
      </c>
      <c r="I324" s="61">
        <f>OFFSET(L322,0,I310,1,1)</f>
        <v>0.9</v>
      </c>
    </row>
    <row r="325" ht="14.25" customHeight="1">
      <c r="H325" s="103" t="str">
        <f>I312</f>
        <v>#REF!</v>
      </c>
      <c r="I325" s="61">
        <f>OFFSET(L323,0,I310,1,1)</f>
        <v>1</v>
      </c>
    </row>
    <row r="326" ht="14.25" customHeight="1">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ht="14.25" customHeight="1"/>
    <row r="328" ht="14.25" customHeight="1">
      <c r="H328" s="72" t="s">
        <v>50</v>
      </c>
      <c r="I328" s="73">
        <v>1.0</v>
      </c>
      <c r="J328" s="73"/>
      <c r="K328" s="74"/>
      <c r="M328" s="75" t="s">
        <v>51</v>
      </c>
      <c r="N328" s="54"/>
      <c r="O328" s="54"/>
      <c r="P328" s="54"/>
      <c r="Q328" s="54"/>
      <c r="R328" s="54"/>
      <c r="S328" s="54"/>
      <c r="T328" s="54"/>
      <c r="U328" s="54"/>
      <c r="V328" s="55"/>
      <c r="W328" s="76" t="s">
        <v>52</v>
      </c>
      <c r="X328" s="77"/>
      <c r="Y328" s="76" t="s">
        <v>53</v>
      </c>
      <c r="Z328" s="77"/>
    </row>
    <row r="329" ht="14.25" customHeight="1">
      <c r="H329" s="78" t="s">
        <v>54</v>
      </c>
      <c r="I329" s="79" t="str">
        <f t="shared" ref="I329:I330" si="11">#REF!</f>
        <v>#REF!</v>
      </c>
      <c r="J329" s="80" t="s">
        <v>55</v>
      </c>
      <c r="K329" s="81">
        <v>0.0</v>
      </c>
      <c r="M329" s="58" t="s">
        <v>56</v>
      </c>
      <c r="N329" s="27"/>
      <c r="O329" s="58" t="s">
        <v>57</v>
      </c>
      <c r="P329" s="27"/>
      <c r="Q329" s="58" t="s">
        <v>58</v>
      </c>
      <c r="R329" s="27"/>
      <c r="S329" s="58" t="s">
        <v>59</v>
      </c>
      <c r="T329" s="27"/>
      <c r="U329" s="58" t="s">
        <v>60</v>
      </c>
      <c r="V329" s="27"/>
      <c r="W329" s="82"/>
      <c r="X329" s="83"/>
      <c r="Y329" s="82"/>
      <c r="Z329" s="83"/>
    </row>
    <row r="330" ht="14.25" customHeight="1">
      <c r="H330" s="78" t="s">
        <v>61</v>
      </c>
      <c r="I330" s="79" t="str">
        <f t="shared" si="11"/>
        <v>#REF!</v>
      </c>
      <c r="J330" s="80" t="s">
        <v>62</v>
      </c>
      <c r="K330" s="81">
        <v>1.0</v>
      </c>
      <c r="M330" s="84" t="s">
        <v>63</v>
      </c>
      <c r="N330" s="85" t="s">
        <v>64</v>
      </c>
      <c r="O330" s="84" t="s">
        <v>63</v>
      </c>
      <c r="P330" s="85" t="s">
        <v>64</v>
      </c>
      <c r="Q330" s="84" t="s">
        <v>63</v>
      </c>
      <c r="R330" s="85" t="s">
        <v>64</v>
      </c>
      <c r="S330" s="84" t="s">
        <v>63</v>
      </c>
      <c r="T330" s="85" t="s">
        <v>64</v>
      </c>
      <c r="U330" s="84" t="s">
        <v>63</v>
      </c>
      <c r="V330" s="85" t="s">
        <v>64</v>
      </c>
      <c r="W330" s="86" t="s">
        <v>65</v>
      </c>
      <c r="X330" s="86" t="s">
        <v>66</v>
      </c>
      <c r="Y330" s="86" t="s">
        <v>67</v>
      </c>
      <c r="Z330" s="87" t="s">
        <v>68</v>
      </c>
    </row>
    <row r="331" ht="14.25" customHeight="1">
      <c r="H331" s="88"/>
      <c r="I331" s="89"/>
      <c r="J331" s="90" t="s">
        <v>69</v>
      </c>
      <c r="K331" s="91">
        <v>2.0</v>
      </c>
      <c r="M331" s="92">
        <f>K329</f>
        <v>0</v>
      </c>
      <c r="N331" s="93">
        <f>K330</f>
        <v>1</v>
      </c>
      <c r="O331" s="93">
        <f>K329</f>
        <v>0</v>
      </c>
      <c r="P331" s="93">
        <f>K330</f>
        <v>1</v>
      </c>
      <c r="Q331" s="93">
        <f>K329</f>
        <v>0</v>
      </c>
      <c r="R331" s="93">
        <f>K330</f>
        <v>1</v>
      </c>
      <c r="S331" s="93">
        <f>K329</f>
        <v>0</v>
      </c>
      <c r="T331" s="93">
        <f>K330</f>
        <v>1</v>
      </c>
      <c r="U331" s="93">
        <f>K329</f>
        <v>0</v>
      </c>
      <c r="V331" s="94">
        <f>K330</f>
        <v>1</v>
      </c>
      <c r="W331" s="95"/>
      <c r="X331" s="95"/>
      <c r="Y331" s="96"/>
      <c r="Z331" s="97"/>
    </row>
    <row r="332" ht="14.25" customHeight="1">
      <c r="H332" s="63" t="s">
        <v>70</v>
      </c>
      <c r="I332" s="63" t="s">
        <v>68</v>
      </c>
      <c r="M332" s="98">
        <f>M331+(M341-M331)/10</f>
        <v>0.1</v>
      </c>
      <c r="N332" s="61">
        <f>N331-(N331-N341)/10</f>
        <v>0.9</v>
      </c>
      <c r="O332" s="61">
        <f>(1 - POWER(0.9,K331)) * (K330-K329) + K329</f>
        <v>0.19</v>
      </c>
      <c r="P332" s="61">
        <f>(1 - POWER(0.1,K331)) * (K330-K329) + K329</f>
        <v>0.99</v>
      </c>
      <c r="Q332" s="61">
        <f>POWER(0.1,K331) * (K330-K329)+K329</f>
        <v>0.01</v>
      </c>
      <c r="R332" s="61">
        <f>POWER(0.9,K331) * (K330-K329)+K329</f>
        <v>0.81</v>
      </c>
      <c r="S332" s="61">
        <f>(1 / (1 + EXP(-K331*(-0.4)))) * (K330-K329) + K329</f>
        <v>0.3100255189</v>
      </c>
      <c r="T332" s="61">
        <f>(1 / (1 + EXP(-K331*(0.4)))) * (K330-K329) + K329</f>
        <v>0.6899744811</v>
      </c>
      <c r="U332" s="61">
        <f>(1 / (1 + EXP(-K331*(0.1))) - 0.5) * (K330-K329) + K329</f>
        <v>0.04983399731</v>
      </c>
      <c r="V332" s="99">
        <f>(1 / (1 + EXP(-K331*(-0.1))) + 0.5) * (K330-K329) + K329</f>
        <v>0.9501660027</v>
      </c>
      <c r="W332" s="100"/>
      <c r="X332" s="100"/>
      <c r="Y332" s="101"/>
      <c r="Z332" s="102"/>
    </row>
    <row r="333" ht="14.25" customHeight="1">
      <c r="H333" s="103" t="str">
        <f>I329</f>
        <v>#REF!</v>
      </c>
      <c r="I333" s="61">
        <f>OFFSET(L331,0,I328,1,1)</f>
        <v>0</v>
      </c>
      <c r="M333" s="98">
        <f>M332+(M341-M331)/10</f>
        <v>0.2</v>
      </c>
      <c r="N333" s="61">
        <f>N332-(N331-N341)/10</f>
        <v>0.8</v>
      </c>
      <c r="O333" s="61">
        <f>(1 - POWER(0.8,K331)) * (K330-K329) + K329</f>
        <v>0.36</v>
      </c>
      <c r="P333" s="61">
        <f>(1 - POWER(0.2,K331)) * (K330-K329) + K329</f>
        <v>0.96</v>
      </c>
      <c r="Q333" s="61">
        <f>POWER(0.2,K331) * (K330-K329)+K329</f>
        <v>0.04</v>
      </c>
      <c r="R333" s="61">
        <f>POWER(0.8,K331) * (K330-K329)+K329</f>
        <v>0.64</v>
      </c>
      <c r="S333" s="61">
        <f>(1 / (1 + EXP(-K331*(-0.3)))) * (K330-K329) + K329</f>
        <v>0.3543436938</v>
      </c>
      <c r="T333" s="61">
        <f>(1 / (1 + EXP(-K331*(0.3)))) * (K330-K329) + K329</f>
        <v>0.6456563062</v>
      </c>
      <c r="U333" s="61">
        <f>(1 / (1 + EXP(-K331*(0.2))) - 0.5) *  (K330-K329) + K329</f>
        <v>0.09868766011</v>
      </c>
      <c r="V333" s="99">
        <f>(1 / (1 + EXP(-K331*(-0.2))) + 0.5) * (K330-K329) + K329</f>
        <v>0.9013123399</v>
      </c>
      <c r="W333" s="100"/>
      <c r="X333" s="100"/>
      <c r="Y333" s="101"/>
      <c r="Z333" s="102"/>
    </row>
    <row r="334" ht="14.25" customHeight="1">
      <c r="H334" s="103" t="str">
        <f>H333+(I330-I329)/10</f>
        <v>#REF!</v>
      </c>
      <c r="I334" s="61">
        <f>OFFSET(L332,0,I328,1,1)</f>
        <v>0.1</v>
      </c>
      <c r="M334" s="98">
        <f>M333+(M341-M331)/10</f>
        <v>0.3</v>
      </c>
      <c r="N334" s="61">
        <f>N333-(N331-N341)/10</f>
        <v>0.7</v>
      </c>
      <c r="O334" s="61">
        <f>(1 - POWER(0.7,K331)) * (K330-K329) + K329</f>
        <v>0.51</v>
      </c>
      <c r="P334" s="61">
        <f>(1 - POWER(0.3,K331)) * (K330-K329) + K329</f>
        <v>0.91</v>
      </c>
      <c r="Q334" s="61">
        <f>POWER(0.3,K331) * (K330-K329)+K329</f>
        <v>0.09</v>
      </c>
      <c r="R334" s="61">
        <f>POWER(0.7,K331) * (K330-K329)+K329</f>
        <v>0.49</v>
      </c>
      <c r="S334" s="61">
        <f>(1 / (1 + EXP(-K331*(-0.2)))) * (K330-K329) + K329</f>
        <v>0.4013123399</v>
      </c>
      <c r="T334" s="61">
        <f>(1 / (1 + EXP(-K331*(0.2)))) * (K330-K329) + K329</f>
        <v>0.5986876601</v>
      </c>
      <c r="U334" s="61">
        <f>(1 / (1 + EXP(-K331*(0.3))) - 0.5) * (K330-K329) + K329</f>
        <v>0.1456563062</v>
      </c>
      <c r="V334" s="99">
        <f>(1 / (1 + EXP(-K331*(-0.3))) + 0.5) * (K330-K329) + K329</f>
        <v>0.8543436938</v>
      </c>
      <c r="W334" s="100"/>
      <c r="X334" s="100"/>
      <c r="Y334" s="101"/>
      <c r="Z334" s="102"/>
    </row>
    <row r="335" ht="14.25" customHeight="1">
      <c r="H335" s="103" t="str">
        <f>H334+(I330-I329)/10</f>
        <v>#REF!</v>
      </c>
      <c r="I335" s="61">
        <f>OFFSET(L333,0,I328,1,1)</f>
        <v>0.2</v>
      </c>
      <c r="M335" s="98">
        <f>M334+(M341-M331)/10</f>
        <v>0.4</v>
      </c>
      <c r="N335" s="61">
        <f>N334-(N331-N341)/10</f>
        <v>0.6</v>
      </c>
      <c r="O335" s="61">
        <f>(1 - POWER(0.6,K331)) * (K330-K329) + K329</f>
        <v>0.64</v>
      </c>
      <c r="P335" s="61">
        <f>(1 - POWER(0.4,K331)) * (K330-K329) + K329</f>
        <v>0.84</v>
      </c>
      <c r="Q335" s="61">
        <f>POWER(0.4,K331) * (K330-K329)+K329</f>
        <v>0.16</v>
      </c>
      <c r="R335" s="61">
        <f>POWER(0.6,K331) * (K330-K329)+K329</f>
        <v>0.36</v>
      </c>
      <c r="S335" s="61">
        <f>(1 / (1 + EXP(-K331*(-0.1)))) * (K330-K329) + K329</f>
        <v>0.4501660027</v>
      </c>
      <c r="T335" s="61">
        <f>(1 / (1 + EXP(-K331*(0.1)))) * (K330-K329) + K329</f>
        <v>0.5498339973</v>
      </c>
      <c r="U335" s="61">
        <f>(1 / (1 + EXP(-K331*(0.4))) - 0.5) * (K330-K329) + K329</f>
        <v>0.1899744811</v>
      </c>
      <c r="V335" s="99">
        <f>(1 / (1 + EXP(-K331*(-0.4))) + 0.5) * (K330-K329) + K329</f>
        <v>0.8100255189</v>
      </c>
      <c r="W335" s="100"/>
      <c r="X335" s="100"/>
      <c r="Y335" s="101"/>
      <c r="Z335" s="102"/>
    </row>
    <row r="336" ht="14.25" customHeight="1">
      <c r="H336" s="103" t="str">
        <f>H335+(I330-I329)/10</f>
        <v>#REF!</v>
      </c>
      <c r="I336" s="61">
        <f>OFFSET(L334,0,I328,1,1)</f>
        <v>0.3</v>
      </c>
      <c r="M336" s="98">
        <f>M335+(M341-M331)/10</f>
        <v>0.5</v>
      </c>
      <c r="N336" s="61">
        <f>N335-(N331-N341)/10</f>
        <v>0.5</v>
      </c>
      <c r="O336" s="61">
        <f>(1 - POWER(0.5,K331)) * (K330-K329) + K329</f>
        <v>0.75</v>
      </c>
      <c r="P336" s="61">
        <f>(1 - POWER(0.5,K331)) * (K330-K329) + K329</f>
        <v>0.75</v>
      </c>
      <c r="Q336" s="61">
        <f>POWER(0.5,K331) * (K330-K329)+K329</f>
        <v>0.25</v>
      </c>
      <c r="R336" s="61">
        <f>POWER(0.5,K331) * (K330-K329)+K329</f>
        <v>0.25</v>
      </c>
      <c r="S336" s="61">
        <f>(1 / (1 + EXP(-K331*(0)))) * (K330-K329) + K329</f>
        <v>0.5</v>
      </c>
      <c r="T336" s="61">
        <f>(1 / (1 + EXP(-K331*(0)))) * (K330-K329) + K329</f>
        <v>0.5</v>
      </c>
      <c r="U336" s="61">
        <f>(1 / (1 + EXP(-K331*(0.5))) - 0.5) * (K330-K329) + K329</f>
        <v>0.2310585786</v>
      </c>
      <c r="V336" s="99">
        <f>(1 / (1 + EXP(-K331*(0.5))) - 0.5) * (K330-K329) + K329</f>
        <v>0.2310585786</v>
      </c>
      <c r="W336" s="100"/>
      <c r="X336" s="100"/>
      <c r="Y336" s="101"/>
      <c r="Z336" s="102"/>
    </row>
    <row r="337" ht="14.25" customHeight="1">
      <c r="H337" s="103" t="str">
        <f>H336+(I330-I329)/10</f>
        <v>#REF!</v>
      </c>
      <c r="I337" s="61">
        <f>OFFSET(L335,0,I328,1,1)</f>
        <v>0.4</v>
      </c>
      <c r="M337" s="98">
        <f>M336+(M341-M331)/10</f>
        <v>0.6</v>
      </c>
      <c r="N337" s="61">
        <f>N336-(N331-N341)/10</f>
        <v>0.4</v>
      </c>
      <c r="O337" s="61">
        <f>(1 - POWER(0.4,K331)) * (K330-K329) + K329</f>
        <v>0.84</v>
      </c>
      <c r="P337" s="61">
        <f>(1 - POWER(0.6,K331)) * (K330-K329) + K329</f>
        <v>0.64</v>
      </c>
      <c r="Q337" s="61">
        <f>POWER(0.6,K331) * (K330-K329)+K329</f>
        <v>0.36</v>
      </c>
      <c r="R337" s="61">
        <f>POWER(0.4,K331) * (K330-K329)+K329</f>
        <v>0.16</v>
      </c>
      <c r="S337" s="61">
        <f>(1 / (1 + EXP(-K331*(0.1)))) * (K330-K329) + K329</f>
        <v>0.5498339973</v>
      </c>
      <c r="T337" s="61">
        <f>(1 / (1 + EXP(-K331*(-0.1)))) * (K330-K329) + K329</f>
        <v>0.4501660027</v>
      </c>
      <c r="U337" s="61">
        <f>(1 / (1 + EXP(-K331*(-0.4))) + 0.5) * (K330-K329) + K329</f>
        <v>0.8100255189</v>
      </c>
      <c r="V337" s="99">
        <f>(1 / (1 + EXP(-K331*(0.4))) - 0.5) * (K330-K329) + K329</f>
        <v>0.1899744811</v>
      </c>
      <c r="W337" s="100"/>
      <c r="X337" s="100"/>
      <c r="Y337" s="101"/>
      <c r="Z337" s="102"/>
    </row>
    <row r="338" ht="14.25" customHeight="1">
      <c r="H338" s="103" t="str">
        <f>H337+(I330-I329)/10</f>
        <v>#REF!</v>
      </c>
      <c r="I338" s="61">
        <f>OFFSET(L336,0,I328,1,1)</f>
        <v>0.5</v>
      </c>
      <c r="M338" s="98">
        <f>M337+(M341-M331)/10</f>
        <v>0.7</v>
      </c>
      <c r="N338" s="61">
        <f>N337-(N331-N341)/10</f>
        <v>0.3</v>
      </c>
      <c r="O338" s="61">
        <f>(1 - POWER(0.3,K331)) * (K330-K329) + K329</f>
        <v>0.91</v>
      </c>
      <c r="P338" s="61">
        <f>(1 - POWER(0.7,K331)) * (K330-K329) + K329</f>
        <v>0.51</v>
      </c>
      <c r="Q338" s="61">
        <f>POWER(0.7,K331) * (K330-K329)+K329</f>
        <v>0.49</v>
      </c>
      <c r="R338" s="61">
        <f>POWER(0.3,K331) * (K330-K329)+K329</f>
        <v>0.09</v>
      </c>
      <c r="S338" s="61">
        <f>(1 / (1 + EXP(-K331*(0.2)))) * (K330-K329) + K329</f>
        <v>0.5986876601</v>
      </c>
      <c r="T338" s="61">
        <f>(1 / (1 + EXP(-K331*(-0.2)))) * (K330-K329) + K329</f>
        <v>0.4013123399</v>
      </c>
      <c r="U338" s="61">
        <f>(1 / (1 + EXP(-K331*(-0.3))) + 0.5) * (K330-K329) + K329</f>
        <v>0.8543436938</v>
      </c>
      <c r="V338" s="99">
        <f>(1 / (1 + EXP(-K331*(0.3))) - 0.5) * (K330-K329) + K329</f>
        <v>0.1456563062</v>
      </c>
      <c r="W338" s="100"/>
      <c r="X338" s="100"/>
      <c r="Y338" s="101"/>
      <c r="Z338" s="102"/>
    </row>
    <row r="339" ht="14.25" customHeight="1">
      <c r="H339" s="103" t="str">
        <f>H338+(I330-I329)/10</f>
        <v>#REF!</v>
      </c>
      <c r="I339" s="61">
        <f>OFFSET(L337,0,I328,1,1)</f>
        <v>0.6</v>
      </c>
      <c r="M339" s="98">
        <f>M338+(M341-M331)/10</f>
        <v>0.8</v>
      </c>
      <c r="N339" s="61">
        <f>N338-(N331-N341)/10</f>
        <v>0.2</v>
      </c>
      <c r="O339" s="61">
        <f>(1 - POWER(0.2,K331)) * (K330-K329) + K329</f>
        <v>0.96</v>
      </c>
      <c r="P339" s="61">
        <f>(1 - POWER(0.8,K331)) * (K330-K329) + K329</f>
        <v>0.36</v>
      </c>
      <c r="Q339" s="61">
        <f>POWER(0.8,K331) * (K330-K329)+K329</f>
        <v>0.64</v>
      </c>
      <c r="R339" s="61">
        <f>POWER(0.2,K331) * (K330-K329)+K329</f>
        <v>0.04</v>
      </c>
      <c r="S339" s="61">
        <f>(1 / (1 + EXP(-K331*(0.3)))) * (K330-K329) + K329</f>
        <v>0.6456563062</v>
      </c>
      <c r="T339" s="61">
        <f>(1 / (1 + EXP(-K331*(-0.3)))) * (K330-K329) + K329</f>
        <v>0.3543436938</v>
      </c>
      <c r="U339" s="61">
        <f>(1 / (1 + EXP(-K331*(-0.2))) + 0.5) * (K330-K329) + K329</f>
        <v>0.9013123399</v>
      </c>
      <c r="V339" s="99">
        <f>(1 / (1 + EXP(-K331*(0.2))) - 0.5) *  (K330-K329) + K329</f>
        <v>0.09868766011</v>
      </c>
      <c r="W339" s="100"/>
      <c r="X339" s="100"/>
      <c r="Y339" s="101"/>
      <c r="Z339" s="102"/>
    </row>
    <row r="340" ht="14.25" customHeight="1">
      <c r="H340" s="103" t="str">
        <f>H339+(I330-I329)/10</f>
        <v>#REF!</v>
      </c>
      <c r="I340" s="61">
        <f>OFFSET(L338,0,I328,1,1)</f>
        <v>0.7</v>
      </c>
      <c r="M340" s="98">
        <f>M339+(M341-M331)/10</f>
        <v>0.9</v>
      </c>
      <c r="N340" s="61">
        <f>N339-(N331-N341)/10</f>
        <v>0.1</v>
      </c>
      <c r="O340" s="61">
        <f>(1 - POWER(0.1,K331)) * (K330-K329) + K329</f>
        <v>0.99</v>
      </c>
      <c r="P340" s="61">
        <f>(1 - POWER(0.9,K331)) * (K330-K329) + K329</f>
        <v>0.19</v>
      </c>
      <c r="Q340" s="61">
        <f>POWER(0.9,K331) * (K330-K329)+K329</f>
        <v>0.81</v>
      </c>
      <c r="R340" s="61">
        <f>POWER(0.1,K331) * (K330-K329)+K329</f>
        <v>0.01</v>
      </c>
      <c r="S340" s="61">
        <f>(1 / (1 + EXP(-K331*(0.4)))) * (K330-K329) + K329</f>
        <v>0.6899744811</v>
      </c>
      <c r="T340" s="61">
        <f>(1 / (1 + EXP(-K331*(-0.4)))) * (K330-K329) + K329</f>
        <v>0.3100255189</v>
      </c>
      <c r="U340" s="61">
        <f>(1 / (1 + EXP(-K331*(-0.1))) + 0.5) * (K330-K329) + K329</f>
        <v>0.9501660027</v>
      </c>
      <c r="V340" s="99">
        <f>(1 / (1 + EXP(-K331*(0.1))) - 0.5) * (K330-K329) + K329</f>
        <v>0.04983399731</v>
      </c>
      <c r="W340" s="100"/>
      <c r="X340" s="100"/>
      <c r="Y340" s="101"/>
      <c r="Z340" s="102"/>
    </row>
    <row r="341" ht="14.25" customHeight="1">
      <c r="H341" s="103" t="str">
        <f>H340+(I330-I329)/10</f>
        <v>#REF!</v>
      </c>
      <c r="I341" s="61">
        <f>OFFSET(L339,0,I328,1,1)</f>
        <v>0.8</v>
      </c>
      <c r="M341" s="104">
        <f>K330</f>
        <v>1</v>
      </c>
      <c r="N341" s="105">
        <f>K329</f>
        <v>0</v>
      </c>
      <c r="O341" s="105">
        <f>K330</f>
        <v>1</v>
      </c>
      <c r="P341" s="105">
        <f>K329</f>
        <v>0</v>
      </c>
      <c r="Q341" s="105">
        <f>K330</f>
        <v>1</v>
      </c>
      <c r="R341" s="105">
        <f>K329</f>
        <v>0</v>
      </c>
      <c r="S341" s="105">
        <f>K330</f>
        <v>1</v>
      </c>
      <c r="T341" s="105">
        <f>K329</f>
        <v>0</v>
      </c>
      <c r="U341" s="105">
        <f>K330</f>
        <v>1</v>
      </c>
      <c r="V341" s="106">
        <f>K329</f>
        <v>0</v>
      </c>
      <c r="W341" s="107"/>
      <c r="X341" s="107"/>
      <c r="Y341" s="108"/>
      <c r="Z341" s="109"/>
    </row>
    <row r="342" ht="14.25" customHeight="1">
      <c r="H342" s="103" t="str">
        <f>H341+(I330-I329)/10</f>
        <v>#REF!</v>
      </c>
      <c r="I342" s="61">
        <f>OFFSET(L340,0,I328,1,1)</f>
        <v>0.9</v>
      </c>
    </row>
    <row r="343" ht="14.25" customHeight="1">
      <c r="H343" s="103" t="str">
        <f>I330</f>
        <v>#REF!</v>
      </c>
      <c r="I343" s="61">
        <f>OFFSET(L341,0,I328,1,1)</f>
        <v>1</v>
      </c>
    </row>
    <row r="344" ht="14.25" customHeight="1">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ht="14.25" customHeight="1"/>
    <row r="346" ht="14.25" customHeight="1">
      <c r="H346" s="72" t="s">
        <v>50</v>
      </c>
      <c r="I346" s="73">
        <v>1.0</v>
      </c>
      <c r="J346" s="73"/>
      <c r="K346" s="74"/>
      <c r="M346" s="75" t="s">
        <v>51</v>
      </c>
      <c r="N346" s="54"/>
      <c r="O346" s="54"/>
      <c r="P346" s="54"/>
      <c r="Q346" s="54"/>
      <c r="R346" s="54"/>
      <c r="S346" s="54"/>
      <c r="T346" s="54"/>
      <c r="U346" s="54"/>
      <c r="V346" s="55"/>
      <c r="W346" s="76" t="s">
        <v>52</v>
      </c>
      <c r="X346" s="77"/>
      <c r="Y346" s="76" t="s">
        <v>53</v>
      </c>
      <c r="Z346" s="77"/>
    </row>
    <row r="347" ht="14.25" customHeight="1">
      <c r="H347" s="78" t="s">
        <v>54</v>
      </c>
      <c r="I347" s="79" t="str">
        <f t="shared" ref="I347:I348" si="12">#REF!</f>
        <v>#REF!</v>
      </c>
      <c r="J347" s="80" t="s">
        <v>55</v>
      </c>
      <c r="K347" s="81">
        <v>0.0</v>
      </c>
      <c r="M347" s="58" t="s">
        <v>56</v>
      </c>
      <c r="N347" s="27"/>
      <c r="O347" s="58" t="s">
        <v>57</v>
      </c>
      <c r="P347" s="27"/>
      <c r="Q347" s="58" t="s">
        <v>58</v>
      </c>
      <c r="R347" s="27"/>
      <c r="S347" s="58" t="s">
        <v>59</v>
      </c>
      <c r="T347" s="27"/>
      <c r="U347" s="58" t="s">
        <v>60</v>
      </c>
      <c r="V347" s="27"/>
      <c r="W347" s="82"/>
      <c r="X347" s="83"/>
      <c r="Y347" s="82"/>
      <c r="Z347" s="83"/>
    </row>
    <row r="348" ht="14.25" customHeight="1">
      <c r="H348" s="78" t="s">
        <v>61</v>
      </c>
      <c r="I348" s="79" t="str">
        <f t="shared" si="12"/>
        <v>#REF!</v>
      </c>
      <c r="J348" s="80" t="s">
        <v>62</v>
      </c>
      <c r="K348" s="81">
        <v>1.0</v>
      </c>
      <c r="M348" s="84" t="s">
        <v>63</v>
      </c>
      <c r="N348" s="85" t="s">
        <v>64</v>
      </c>
      <c r="O348" s="84" t="s">
        <v>63</v>
      </c>
      <c r="P348" s="85" t="s">
        <v>64</v>
      </c>
      <c r="Q348" s="84" t="s">
        <v>63</v>
      </c>
      <c r="R348" s="85" t="s">
        <v>64</v>
      </c>
      <c r="S348" s="84" t="s">
        <v>63</v>
      </c>
      <c r="T348" s="85" t="s">
        <v>64</v>
      </c>
      <c r="U348" s="84" t="s">
        <v>63</v>
      </c>
      <c r="V348" s="85" t="s">
        <v>64</v>
      </c>
      <c r="W348" s="86" t="s">
        <v>65</v>
      </c>
      <c r="X348" s="86" t="s">
        <v>66</v>
      </c>
      <c r="Y348" s="86" t="s">
        <v>67</v>
      </c>
      <c r="Z348" s="87" t="s">
        <v>68</v>
      </c>
    </row>
    <row r="349" ht="14.25" customHeight="1">
      <c r="H349" s="88"/>
      <c r="I349" s="89"/>
      <c r="J349" s="90" t="s">
        <v>69</v>
      </c>
      <c r="K349" s="91">
        <v>2.0</v>
      </c>
      <c r="M349" s="92">
        <f>K347</f>
        <v>0</v>
      </c>
      <c r="N349" s="93">
        <f>K348</f>
        <v>1</v>
      </c>
      <c r="O349" s="93">
        <f>K347</f>
        <v>0</v>
      </c>
      <c r="P349" s="93">
        <f>K348</f>
        <v>1</v>
      </c>
      <c r="Q349" s="93">
        <f>K347</f>
        <v>0</v>
      </c>
      <c r="R349" s="93">
        <f>K348</f>
        <v>1</v>
      </c>
      <c r="S349" s="93">
        <f>K347</f>
        <v>0</v>
      </c>
      <c r="T349" s="93">
        <f>K348</f>
        <v>1</v>
      </c>
      <c r="U349" s="93">
        <f>K347</f>
        <v>0</v>
      </c>
      <c r="V349" s="94">
        <f>K348</f>
        <v>1</v>
      </c>
      <c r="W349" s="95"/>
      <c r="X349" s="95"/>
      <c r="Y349" s="96"/>
      <c r="Z349" s="97"/>
    </row>
    <row r="350" ht="14.25" customHeight="1">
      <c r="H350" s="63" t="s">
        <v>70</v>
      </c>
      <c r="I350" s="63" t="s">
        <v>68</v>
      </c>
      <c r="M350" s="98">
        <f>M349+(M359-M349)/10</f>
        <v>0.1</v>
      </c>
      <c r="N350" s="61">
        <f>N349-(N349-N359)/10</f>
        <v>0.9</v>
      </c>
      <c r="O350" s="61">
        <f>(1 - POWER(0.9,K349)) * (K348-K347) + K347</f>
        <v>0.19</v>
      </c>
      <c r="P350" s="61">
        <f>(1 - POWER(0.1,K349)) * (K348-K347) + K347</f>
        <v>0.99</v>
      </c>
      <c r="Q350" s="61">
        <f>POWER(0.1,K349) * (K348-K347)+K347</f>
        <v>0.01</v>
      </c>
      <c r="R350" s="61">
        <f>POWER(0.9,K349) * (K348-K347)+K347</f>
        <v>0.81</v>
      </c>
      <c r="S350" s="61">
        <f>(1 / (1 + EXP(-K349*(-0.4)))) * (K348-K347) + K347</f>
        <v>0.3100255189</v>
      </c>
      <c r="T350" s="61">
        <f>(1 / (1 + EXP(-K349*(0.4)))) * (K348-K347) + K347</f>
        <v>0.6899744811</v>
      </c>
      <c r="U350" s="61">
        <f>(1 / (1 + EXP(-K349*(0.1))) - 0.5) * (K348-K347) + K347</f>
        <v>0.04983399731</v>
      </c>
      <c r="V350" s="99">
        <f>(1 / (1 + EXP(-K349*(-0.1))) + 0.5) * (K348-K347) + K347</f>
        <v>0.9501660027</v>
      </c>
      <c r="W350" s="100"/>
      <c r="X350" s="100"/>
      <c r="Y350" s="101"/>
      <c r="Z350" s="102"/>
    </row>
    <row r="351" ht="14.25" customHeight="1">
      <c r="H351" s="103" t="str">
        <f>I347</f>
        <v>#REF!</v>
      </c>
      <c r="I351" s="61">
        <f>OFFSET(L349,0,I346,1,1)</f>
        <v>0</v>
      </c>
      <c r="M351" s="98">
        <f>M350+(M359-M349)/10</f>
        <v>0.2</v>
      </c>
      <c r="N351" s="61">
        <f>N350-(N349-N359)/10</f>
        <v>0.8</v>
      </c>
      <c r="O351" s="61">
        <f>(1 - POWER(0.8,K349)) * (K348-K347) + K347</f>
        <v>0.36</v>
      </c>
      <c r="P351" s="61">
        <f>(1 - POWER(0.2,K349)) * (K348-K347) + K347</f>
        <v>0.96</v>
      </c>
      <c r="Q351" s="61">
        <f>POWER(0.2,K349) * (K348-K347)+K347</f>
        <v>0.04</v>
      </c>
      <c r="R351" s="61">
        <f>POWER(0.8,K349) * (K348-K347)+K347</f>
        <v>0.64</v>
      </c>
      <c r="S351" s="61">
        <f>(1 / (1 + EXP(-K349*(-0.3)))) * (K348-K347) + K347</f>
        <v>0.3543436938</v>
      </c>
      <c r="T351" s="61">
        <f>(1 / (1 + EXP(-K349*(0.3)))) * (K348-K347) + K347</f>
        <v>0.6456563062</v>
      </c>
      <c r="U351" s="61">
        <f>(1 / (1 + EXP(-K349*(0.2))) - 0.5) *  (K348-K347) + K347</f>
        <v>0.09868766011</v>
      </c>
      <c r="V351" s="99">
        <f>(1 / (1 + EXP(-K349*(-0.2))) + 0.5) * (K348-K347) + K347</f>
        <v>0.9013123399</v>
      </c>
      <c r="W351" s="100"/>
      <c r="X351" s="100"/>
      <c r="Y351" s="101"/>
      <c r="Z351" s="102"/>
    </row>
    <row r="352" ht="14.25" customHeight="1">
      <c r="H352" s="103" t="str">
        <f>H351+(I348-I347)/10</f>
        <v>#REF!</v>
      </c>
      <c r="I352" s="61">
        <f>OFFSET(L350,0,I346,1,1)</f>
        <v>0.1</v>
      </c>
      <c r="M352" s="98">
        <f>M351+(M359-M349)/10</f>
        <v>0.3</v>
      </c>
      <c r="N352" s="61">
        <f>N351-(N349-N359)/10</f>
        <v>0.7</v>
      </c>
      <c r="O352" s="61">
        <f>(1 - POWER(0.7,K349)) * (K348-K347) + K347</f>
        <v>0.51</v>
      </c>
      <c r="P352" s="61">
        <f>(1 - POWER(0.3,K349)) * (K348-K347) + K347</f>
        <v>0.91</v>
      </c>
      <c r="Q352" s="61">
        <f>POWER(0.3,K349) * (K348-K347)+K347</f>
        <v>0.09</v>
      </c>
      <c r="R352" s="61">
        <f>POWER(0.7,K349) * (K348-K347)+K347</f>
        <v>0.49</v>
      </c>
      <c r="S352" s="61">
        <f>(1 / (1 + EXP(-K349*(-0.2)))) * (K348-K347) + K347</f>
        <v>0.4013123399</v>
      </c>
      <c r="T352" s="61">
        <f>(1 / (1 + EXP(-K349*(0.2)))) * (K348-K347) + K347</f>
        <v>0.5986876601</v>
      </c>
      <c r="U352" s="61">
        <f>(1 / (1 + EXP(-K349*(0.3))) - 0.5) * (K348-K347) + K347</f>
        <v>0.1456563062</v>
      </c>
      <c r="V352" s="99">
        <f>(1 / (1 + EXP(-K349*(-0.3))) + 0.5) * (K348-K347) + K347</f>
        <v>0.8543436938</v>
      </c>
      <c r="W352" s="100"/>
      <c r="X352" s="100"/>
      <c r="Y352" s="101"/>
      <c r="Z352" s="102"/>
    </row>
    <row r="353" ht="14.25" customHeight="1">
      <c r="H353" s="103" t="str">
        <f>H352+(I348-I347)/10</f>
        <v>#REF!</v>
      </c>
      <c r="I353" s="61">
        <f>OFFSET(L351,0,I346,1,1)</f>
        <v>0.2</v>
      </c>
      <c r="M353" s="98">
        <f>M352+(M359-M349)/10</f>
        <v>0.4</v>
      </c>
      <c r="N353" s="61">
        <f>N352-(N349-N359)/10</f>
        <v>0.6</v>
      </c>
      <c r="O353" s="61">
        <f>(1 - POWER(0.6,K349)) * (K348-K347) + K347</f>
        <v>0.64</v>
      </c>
      <c r="P353" s="61">
        <f>(1 - POWER(0.4,K349)) * (K348-K347) + K347</f>
        <v>0.84</v>
      </c>
      <c r="Q353" s="61">
        <f>POWER(0.4,K349) * (K348-K347)+K347</f>
        <v>0.16</v>
      </c>
      <c r="R353" s="61">
        <f>POWER(0.6,K349) * (K348-K347)+K347</f>
        <v>0.36</v>
      </c>
      <c r="S353" s="61">
        <f>(1 / (1 + EXP(-K349*(-0.1)))) * (K348-K347) + K347</f>
        <v>0.4501660027</v>
      </c>
      <c r="T353" s="61">
        <f>(1 / (1 + EXP(-K349*(0.1)))) * (K348-K347) + K347</f>
        <v>0.5498339973</v>
      </c>
      <c r="U353" s="61">
        <f>(1 / (1 + EXP(-K349*(0.4))) - 0.5) * (K348-K347) + K347</f>
        <v>0.1899744811</v>
      </c>
      <c r="V353" s="99">
        <f>(1 / (1 + EXP(-K349*(-0.4))) + 0.5) * (K348-K347) + K347</f>
        <v>0.8100255189</v>
      </c>
      <c r="W353" s="100"/>
      <c r="X353" s="100"/>
      <c r="Y353" s="101"/>
      <c r="Z353" s="102"/>
    </row>
    <row r="354" ht="14.25" customHeight="1">
      <c r="H354" s="103" t="str">
        <f>H353+(I348-I347)/10</f>
        <v>#REF!</v>
      </c>
      <c r="I354" s="61">
        <f>OFFSET(L352,0,I346,1,1)</f>
        <v>0.3</v>
      </c>
      <c r="M354" s="98">
        <f>M353+(M359-M349)/10</f>
        <v>0.5</v>
      </c>
      <c r="N354" s="61">
        <f>N353-(N349-N359)/10</f>
        <v>0.5</v>
      </c>
      <c r="O354" s="61">
        <f>(1 - POWER(0.5,K349)) * (K348-K347) + K347</f>
        <v>0.75</v>
      </c>
      <c r="P354" s="61">
        <f>(1 - POWER(0.5,K349)) * (K348-K347) + K347</f>
        <v>0.75</v>
      </c>
      <c r="Q354" s="61">
        <f>POWER(0.5,K349) * (K348-K347)+K347</f>
        <v>0.25</v>
      </c>
      <c r="R354" s="61">
        <f>POWER(0.5,K349) * (K348-K347)+K347</f>
        <v>0.25</v>
      </c>
      <c r="S354" s="61">
        <f>(1 / (1 + EXP(-K349*(0)))) * (K348-K347) + K347</f>
        <v>0.5</v>
      </c>
      <c r="T354" s="61">
        <f>(1 / (1 + EXP(-K349*(0)))) * (K348-K347) + K347</f>
        <v>0.5</v>
      </c>
      <c r="U354" s="61">
        <f>(1 / (1 + EXP(-K349*(0.5))) - 0.5) * (K348-K347) + K347</f>
        <v>0.2310585786</v>
      </c>
      <c r="V354" s="99">
        <f>(1 / (1 + EXP(-K349*(0.5))) - 0.5) * (K348-K347) + K347</f>
        <v>0.2310585786</v>
      </c>
      <c r="W354" s="100"/>
      <c r="X354" s="100"/>
      <c r="Y354" s="101"/>
      <c r="Z354" s="102"/>
    </row>
    <row r="355" ht="14.25" customHeight="1">
      <c r="H355" s="103" t="str">
        <f>H354+(I348-I347)/10</f>
        <v>#REF!</v>
      </c>
      <c r="I355" s="61">
        <f>OFFSET(L353,0,I346,1,1)</f>
        <v>0.4</v>
      </c>
      <c r="M355" s="98">
        <f>M354+(M359-M349)/10</f>
        <v>0.6</v>
      </c>
      <c r="N355" s="61">
        <f>N354-(N349-N359)/10</f>
        <v>0.4</v>
      </c>
      <c r="O355" s="61">
        <f>(1 - POWER(0.4,K349)) * (K348-K347) + K347</f>
        <v>0.84</v>
      </c>
      <c r="P355" s="61">
        <f>(1 - POWER(0.6,K349)) * (K348-K347) + K347</f>
        <v>0.64</v>
      </c>
      <c r="Q355" s="61">
        <f>POWER(0.6,K349) * (K348-K347)+K347</f>
        <v>0.36</v>
      </c>
      <c r="R355" s="61">
        <f>POWER(0.4,K349) * (K348-K347)+K347</f>
        <v>0.16</v>
      </c>
      <c r="S355" s="61">
        <f>(1 / (1 + EXP(-K349*(0.1)))) * (K348-K347) + K347</f>
        <v>0.5498339973</v>
      </c>
      <c r="T355" s="61">
        <f>(1 / (1 + EXP(-K349*(-0.1)))) * (K348-K347) + K347</f>
        <v>0.4501660027</v>
      </c>
      <c r="U355" s="61">
        <f>(1 / (1 + EXP(-K349*(-0.4))) + 0.5) * (K348-K347) + K347</f>
        <v>0.8100255189</v>
      </c>
      <c r="V355" s="99">
        <f>(1 / (1 + EXP(-K349*(0.4))) - 0.5) * (K348-K347) + K347</f>
        <v>0.1899744811</v>
      </c>
      <c r="W355" s="100"/>
      <c r="X355" s="100"/>
      <c r="Y355" s="101"/>
      <c r="Z355" s="102"/>
    </row>
    <row r="356" ht="14.25" customHeight="1">
      <c r="H356" s="103" t="str">
        <f>H355+(I348-I347)/10</f>
        <v>#REF!</v>
      </c>
      <c r="I356" s="61">
        <f>OFFSET(L354,0,I346,1,1)</f>
        <v>0.5</v>
      </c>
      <c r="M356" s="98">
        <f>M355+(M359-M349)/10</f>
        <v>0.7</v>
      </c>
      <c r="N356" s="61">
        <f>N355-(N349-N359)/10</f>
        <v>0.3</v>
      </c>
      <c r="O356" s="61">
        <f>(1 - POWER(0.3,K349)) * (K348-K347) + K347</f>
        <v>0.91</v>
      </c>
      <c r="P356" s="61">
        <f>(1 - POWER(0.7,K349)) * (K348-K347) + K347</f>
        <v>0.51</v>
      </c>
      <c r="Q356" s="61">
        <f>POWER(0.7,K349) * (K348-K347)+K347</f>
        <v>0.49</v>
      </c>
      <c r="R356" s="61">
        <f>POWER(0.3,K349) * (K348-K347)+K347</f>
        <v>0.09</v>
      </c>
      <c r="S356" s="61">
        <f>(1 / (1 + EXP(-K349*(0.2)))) * (K348-K347) + K347</f>
        <v>0.5986876601</v>
      </c>
      <c r="T356" s="61">
        <f>(1 / (1 + EXP(-K349*(-0.2)))) * (K348-K347) + K347</f>
        <v>0.4013123399</v>
      </c>
      <c r="U356" s="61">
        <f>(1 / (1 + EXP(-K349*(-0.3))) + 0.5) * (K348-K347) + K347</f>
        <v>0.8543436938</v>
      </c>
      <c r="V356" s="99">
        <f>(1 / (1 + EXP(-K349*(0.3))) - 0.5) * (K348-K347) + K347</f>
        <v>0.1456563062</v>
      </c>
      <c r="W356" s="100"/>
      <c r="X356" s="100"/>
      <c r="Y356" s="101"/>
      <c r="Z356" s="102"/>
    </row>
    <row r="357" ht="14.25" customHeight="1">
      <c r="H357" s="103" t="str">
        <f>H356+(I348-I347)/10</f>
        <v>#REF!</v>
      </c>
      <c r="I357" s="61">
        <f>OFFSET(L355,0,I346,1,1)</f>
        <v>0.6</v>
      </c>
      <c r="M357" s="98">
        <f>M356+(M359-M349)/10</f>
        <v>0.8</v>
      </c>
      <c r="N357" s="61">
        <f>N356-(N349-N359)/10</f>
        <v>0.2</v>
      </c>
      <c r="O357" s="61">
        <f>(1 - POWER(0.2,K349)) * (K348-K347) + K347</f>
        <v>0.96</v>
      </c>
      <c r="P357" s="61">
        <f>(1 - POWER(0.8,K349)) * (K348-K347) + K347</f>
        <v>0.36</v>
      </c>
      <c r="Q357" s="61">
        <f>POWER(0.8,K349) * (K348-K347)+K347</f>
        <v>0.64</v>
      </c>
      <c r="R357" s="61">
        <f>POWER(0.2,K349) * (K348-K347)+K347</f>
        <v>0.04</v>
      </c>
      <c r="S357" s="61">
        <f>(1 / (1 + EXP(-K349*(0.3)))) * (K348-K347) + K347</f>
        <v>0.6456563062</v>
      </c>
      <c r="T357" s="61">
        <f>(1 / (1 + EXP(-K349*(-0.3)))) * (K348-K347) + K347</f>
        <v>0.3543436938</v>
      </c>
      <c r="U357" s="61">
        <f>(1 / (1 + EXP(-K349*(-0.2))) + 0.5) * (K348-K347) + K347</f>
        <v>0.9013123399</v>
      </c>
      <c r="V357" s="99">
        <f>(1 / (1 + EXP(-K349*(0.2))) - 0.5) *  (K348-K347) + K347</f>
        <v>0.09868766011</v>
      </c>
      <c r="W357" s="100"/>
      <c r="X357" s="100"/>
      <c r="Y357" s="101"/>
      <c r="Z357" s="102"/>
    </row>
    <row r="358" ht="14.25" customHeight="1">
      <c r="H358" s="103" t="str">
        <f>H357+(I348-I347)/10</f>
        <v>#REF!</v>
      </c>
      <c r="I358" s="61">
        <f>OFFSET(L356,0,I346,1,1)</f>
        <v>0.7</v>
      </c>
      <c r="M358" s="98">
        <f>M357+(M359-M349)/10</f>
        <v>0.9</v>
      </c>
      <c r="N358" s="61">
        <f>N357-(N349-N359)/10</f>
        <v>0.1</v>
      </c>
      <c r="O358" s="61">
        <f>(1 - POWER(0.1,K349)) * (K348-K347) + K347</f>
        <v>0.99</v>
      </c>
      <c r="P358" s="61">
        <f>(1 - POWER(0.9,K349)) * (K348-K347) + K347</f>
        <v>0.19</v>
      </c>
      <c r="Q358" s="61">
        <f>POWER(0.9,K349) * (K348-K347)+K347</f>
        <v>0.81</v>
      </c>
      <c r="R358" s="61">
        <f>POWER(0.1,K349) * (K348-K347)+K347</f>
        <v>0.01</v>
      </c>
      <c r="S358" s="61">
        <f>(1 / (1 + EXP(-K349*(0.4)))) * (K348-K347) + K347</f>
        <v>0.6899744811</v>
      </c>
      <c r="T358" s="61">
        <f>(1 / (1 + EXP(-K349*(-0.4)))) * (K348-K347) + K347</f>
        <v>0.3100255189</v>
      </c>
      <c r="U358" s="61">
        <f>(1 / (1 + EXP(-K349*(-0.1))) + 0.5) * (K348-K347) + K347</f>
        <v>0.9501660027</v>
      </c>
      <c r="V358" s="99">
        <f>(1 / (1 + EXP(-K349*(0.1))) - 0.5) * (K348-K347) + K347</f>
        <v>0.04983399731</v>
      </c>
      <c r="W358" s="100"/>
      <c r="X358" s="100"/>
      <c r="Y358" s="101"/>
      <c r="Z358" s="102"/>
    </row>
    <row r="359" ht="14.25" customHeight="1">
      <c r="H359" s="103" t="str">
        <f>H358+(I348-I347)/10</f>
        <v>#REF!</v>
      </c>
      <c r="I359" s="61">
        <f>OFFSET(L357,0,I346,1,1)</f>
        <v>0.8</v>
      </c>
      <c r="M359" s="104">
        <f>K348</f>
        <v>1</v>
      </c>
      <c r="N359" s="105">
        <f>K347</f>
        <v>0</v>
      </c>
      <c r="O359" s="105">
        <f>K348</f>
        <v>1</v>
      </c>
      <c r="P359" s="105">
        <f>K347</f>
        <v>0</v>
      </c>
      <c r="Q359" s="105">
        <f>K348</f>
        <v>1</v>
      </c>
      <c r="R359" s="105">
        <f>K347</f>
        <v>0</v>
      </c>
      <c r="S359" s="105">
        <f>K348</f>
        <v>1</v>
      </c>
      <c r="T359" s="105">
        <f>K347</f>
        <v>0</v>
      </c>
      <c r="U359" s="105">
        <f>K348</f>
        <v>1</v>
      </c>
      <c r="V359" s="106">
        <f>K347</f>
        <v>0</v>
      </c>
      <c r="W359" s="107"/>
      <c r="X359" s="107"/>
      <c r="Y359" s="108"/>
      <c r="Z359" s="109"/>
    </row>
    <row r="360" ht="14.25" customHeight="1">
      <c r="H360" s="103" t="str">
        <f>H359+(I348-I347)/10</f>
        <v>#REF!</v>
      </c>
      <c r="I360" s="61">
        <f>OFFSET(L358,0,I346,1,1)</f>
        <v>0.9</v>
      </c>
    </row>
    <row r="361" ht="14.25" customHeight="1">
      <c r="H361" s="103" t="str">
        <f>I348</f>
        <v>#REF!</v>
      </c>
      <c r="I361" s="61">
        <f>OFFSET(L359,0,I346,1,1)</f>
        <v>1</v>
      </c>
    </row>
    <row r="362" ht="14.25" customHeight="1">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ht="14.25" customHeight="1"/>
    <row r="364" ht="14.25" customHeight="1">
      <c r="H364" s="72" t="s">
        <v>50</v>
      </c>
      <c r="I364" s="73">
        <v>1.0</v>
      </c>
      <c r="J364" s="73"/>
      <c r="K364" s="74"/>
      <c r="M364" s="75" t="s">
        <v>51</v>
      </c>
      <c r="N364" s="54"/>
      <c r="O364" s="54"/>
      <c r="P364" s="54"/>
      <c r="Q364" s="54"/>
      <c r="R364" s="54"/>
      <c r="S364" s="54"/>
      <c r="T364" s="54"/>
      <c r="U364" s="54"/>
      <c r="V364" s="55"/>
      <c r="W364" s="76" t="s">
        <v>52</v>
      </c>
      <c r="X364" s="77"/>
      <c r="Y364" s="76" t="s">
        <v>53</v>
      </c>
      <c r="Z364" s="77"/>
    </row>
    <row r="365" ht="14.25" customHeight="1">
      <c r="H365" s="78" t="s">
        <v>54</v>
      </c>
      <c r="I365" s="79" t="str">
        <f t="shared" ref="I365:I366" si="13">#REF!</f>
        <v>#REF!</v>
      </c>
      <c r="J365" s="80" t="s">
        <v>55</v>
      </c>
      <c r="K365" s="81">
        <v>0.0</v>
      </c>
      <c r="M365" s="58" t="s">
        <v>56</v>
      </c>
      <c r="N365" s="27"/>
      <c r="O365" s="58" t="s">
        <v>57</v>
      </c>
      <c r="P365" s="27"/>
      <c r="Q365" s="58" t="s">
        <v>58</v>
      </c>
      <c r="R365" s="27"/>
      <c r="S365" s="58" t="s">
        <v>59</v>
      </c>
      <c r="T365" s="27"/>
      <c r="U365" s="58" t="s">
        <v>60</v>
      </c>
      <c r="V365" s="27"/>
      <c r="W365" s="82"/>
      <c r="X365" s="83"/>
      <c r="Y365" s="82"/>
      <c r="Z365" s="83"/>
    </row>
    <row r="366" ht="14.25" customHeight="1">
      <c r="H366" s="78" t="s">
        <v>61</v>
      </c>
      <c r="I366" s="79" t="str">
        <f t="shared" si="13"/>
        <v>#REF!</v>
      </c>
      <c r="J366" s="80" t="s">
        <v>62</v>
      </c>
      <c r="K366" s="81">
        <v>1.0</v>
      </c>
      <c r="M366" s="84" t="s">
        <v>63</v>
      </c>
      <c r="N366" s="85" t="s">
        <v>64</v>
      </c>
      <c r="O366" s="84" t="s">
        <v>63</v>
      </c>
      <c r="P366" s="85" t="s">
        <v>64</v>
      </c>
      <c r="Q366" s="84" t="s">
        <v>63</v>
      </c>
      <c r="R366" s="85" t="s">
        <v>64</v>
      </c>
      <c r="S366" s="84" t="s">
        <v>63</v>
      </c>
      <c r="T366" s="85" t="s">
        <v>64</v>
      </c>
      <c r="U366" s="84" t="s">
        <v>63</v>
      </c>
      <c r="V366" s="85" t="s">
        <v>64</v>
      </c>
      <c r="W366" s="86" t="s">
        <v>65</v>
      </c>
      <c r="X366" s="86" t="s">
        <v>66</v>
      </c>
      <c r="Y366" s="86" t="s">
        <v>67</v>
      </c>
      <c r="Z366" s="87" t="s">
        <v>68</v>
      </c>
    </row>
    <row r="367" ht="14.25" customHeight="1">
      <c r="H367" s="88"/>
      <c r="I367" s="89"/>
      <c r="J367" s="90" t="s">
        <v>69</v>
      </c>
      <c r="K367" s="91">
        <v>2.0</v>
      </c>
      <c r="M367" s="92">
        <f>K365</f>
        <v>0</v>
      </c>
      <c r="N367" s="93">
        <f>K366</f>
        <v>1</v>
      </c>
      <c r="O367" s="93">
        <f>K365</f>
        <v>0</v>
      </c>
      <c r="P367" s="93">
        <f>K366</f>
        <v>1</v>
      </c>
      <c r="Q367" s="93">
        <f>K365</f>
        <v>0</v>
      </c>
      <c r="R367" s="93">
        <f>K366</f>
        <v>1</v>
      </c>
      <c r="S367" s="93">
        <f>K365</f>
        <v>0</v>
      </c>
      <c r="T367" s="93">
        <f>K366</f>
        <v>1</v>
      </c>
      <c r="U367" s="93">
        <f>K365</f>
        <v>0</v>
      </c>
      <c r="V367" s="94">
        <f>K366</f>
        <v>1</v>
      </c>
      <c r="W367" s="95"/>
      <c r="X367" s="95"/>
      <c r="Y367" s="96"/>
      <c r="Z367" s="97"/>
    </row>
    <row r="368" ht="14.25" customHeight="1">
      <c r="H368" s="63" t="s">
        <v>70</v>
      </c>
      <c r="I368" s="63" t="s">
        <v>68</v>
      </c>
      <c r="M368" s="98">
        <f>M367+(M377-M367)/10</f>
        <v>0.1</v>
      </c>
      <c r="N368" s="61">
        <f>N367-(N367-N377)/10</f>
        <v>0.9</v>
      </c>
      <c r="O368" s="61">
        <f>(1 - POWER(0.9,K367)) * (K366-K365) + K365</f>
        <v>0.19</v>
      </c>
      <c r="P368" s="61">
        <f>(1 - POWER(0.1,K367)) * (K366-K365) + K365</f>
        <v>0.99</v>
      </c>
      <c r="Q368" s="61">
        <f>POWER(0.1,K367) * (K366-K365)+K365</f>
        <v>0.01</v>
      </c>
      <c r="R368" s="61">
        <f>POWER(0.9,K367) * (K366-K365)+K365</f>
        <v>0.81</v>
      </c>
      <c r="S368" s="61">
        <f>(1 / (1 + EXP(-K367*(-0.4)))) * (K366-K365) + K365</f>
        <v>0.3100255189</v>
      </c>
      <c r="T368" s="61">
        <f>(1 / (1 + EXP(-K367*(0.4)))) * (K366-K365) + K365</f>
        <v>0.6899744811</v>
      </c>
      <c r="U368" s="61">
        <f>(1 / (1 + EXP(-K367*(0.1))) - 0.5) * (K366-K365) + K365</f>
        <v>0.04983399731</v>
      </c>
      <c r="V368" s="99">
        <f>(1 / (1 + EXP(-K367*(-0.1))) + 0.5) * (K366-K365) + K365</f>
        <v>0.9501660027</v>
      </c>
      <c r="W368" s="100"/>
      <c r="X368" s="100"/>
      <c r="Y368" s="101"/>
      <c r="Z368" s="102"/>
    </row>
    <row r="369" ht="14.25" customHeight="1">
      <c r="H369" s="103" t="str">
        <f>I365</f>
        <v>#REF!</v>
      </c>
      <c r="I369" s="61">
        <f>OFFSET(L367,0,I364,1,1)</f>
        <v>0</v>
      </c>
      <c r="M369" s="98">
        <f>M368+(M377-M367)/10</f>
        <v>0.2</v>
      </c>
      <c r="N369" s="61">
        <f>N368-(N367-N377)/10</f>
        <v>0.8</v>
      </c>
      <c r="O369" s="61">
        <f>(1 - POWER(0.8,K367)) * (K366-K365) + K365</f>
        <v>0.36</v>
      </c>
      <c r="P369" s="61">
        <f>(1 - POWER(0.2,K367)) * (K366-K365) + K365</f>
        <v>0.96</v>
      </c>
      <c r="Q369" s="61">
        <f>POWER(0.2,K367) * (K366-K365)+K365</f>
        <v>0.04</v>
      </c>
      <c r="R369" s="61">
        <f>POWER(0.8,K367) * (K366-K365)+K365</f>
        <v>0.64</v>
      </c>
      <c r="S369" s="61">
        <f>(1 / (1 + EXP(-K367*(-0.3)))) * (K366-K365) + K365</f>
        <v>0.3543436938</v>
      </c>
      <c r="T369" s="61">
        <f>(1 / (1 + EXP(-K367*(0.3)))) * (K366-K365) + K365</f>
        <v>0.6456563062</v>
      </c>
      <c r="U369" s="61">
        <f>(1 / (1 + EXP(-K367*(0.2))) - 0.5) *  (K366-K365) + K365</f>
        <v>0.09868766011</v>
      </c>
      <c r="V369" s="99">
        <f>(1 / (1 + EXP(-K367*(-0.2))) + 0.5) * (K366-K365) + K365</f>
        <v>0.9013123399</v>
      </c>
      <c r="W369" s="100"/>
      <c r="X369" s="100"/>
      <c r="Y369" s="101"/>
      <c r="Z369" s="102"/>
    </row>
    <row r="370" ht="14.25" customHeight="1">
      <c r="H370" s="103" t="str">
        <f>H369+(I366-I365)/10</f>
        <v>#REF!</v>
      </c>
      <c r="I370" s="61">
        <f>OFFSET(L368,0,I364,1,1)</f>
        <v>0.1</v>
      </c>
      <c r="M370" s="98">
        <f>M369+(M377-M367)/10</f>
        <v>0.3</v>
      </c>
      <c r="N370" s="61">
        <f>N369-(N367-N377)/10</f>
        <v>0.7</v>
      </c>
      <c r="O370" s="61">
        <f>(1 - POWER(0.7,K367)) * (K366-K365) + K365</f>
        <v>0.51</v>
      </c>
      <c r="P370" s="61">
        <f>(1 - POWER(0.3,K367)) * (K366-K365) + K365</f>
        <v>0.91</v>
      </c>
      <c r="Q370" s="61">
        <f>POWER(0.3,K367) * (K366-K365)+K365</f>
        <v>0.09</v>
      </c>
      <c r="R370" s="61">
        <f>POWER(0.7,K367) * (K366-K365)+K365</f>
        <v>0.49</v>
      </c>
      <c r="S370" s="61">
        <f>(1 / (1 + EXP(-K367*(-0.2)))) * (K366-K365) + K365</f>
        <v>0.4013123399</v>
      </c>
      <c r="T370" s="61">
        <f>(1 / (1 + EXP(-K367*(0.2)))) * (K366-K365) + K365</f>
        <v>0.5986876601</v>
      </c>
      <c r="U370" s="61">
        <f>(1 / (1 + EXP(-K367*(0.3))) - 0.5) * (K366-K365) + K365</f>
        <v>0.1456563062</v>
      </c>
      <c r="V370" s="99">
        <f>(1 / (1 + EXP(-K367*(-0.3))) + 0.5) * (K366-K365) + K365</f>
        <v>0.8543436938</v>
      </c>
      <c r="W370" s="100"/>
      <c r="X370" s="100"/>
      <c r="Y370" s="101"/>
      <c r="Z370" s="102"/>
    </row>
    <row r="371" ht="14.25" customHeight="1">
      <c r="H371" s="103" t="str">
        <f>H370+(I366-I365)/10</f>
        <v>#REF!</v>
      </c>
      <c r="I371" s="61">
        <f>OFFSET(L369,0,I364,1,1)</f>
        <v>0.2</v>
      </c>
      <c r="M371" s="98">
        <f>M370+(M377-M367)/10</f>
        <v>0.4</v>
      </c>
      <c r="N371" s="61">
        <f>N370-(N367-N377)/10</f>
        <v>0.6</v>
      </c>
      <c r="O371" s="61">
        <f>(1 - POWER(0.6,K367)) * (K366-K365) + K365</f>
        <v>0.64</v>
      </c>
      <c r="P371" s="61">
        <f>(1 - POWER(0.4,K367)) * (K366-K365) + K365</f>
        <v>0.84</v>
      </c>
      <c r="Q371" s="61">
        <f>POWER(0.4,K367) * (K366-K365)+K365</f>
        <v>0.16</v>
      </c>
      <c r="R371" s="61">
        <f>POWER(0.6,K367) * (K366-K365)+K365</f>
        <v>0.36</v>
      </c>
      <c r="S371" s="61">
        <f>(1 / (1 + EXP(-K367*(-0.1)))) * (K366-K365) + K365</f>
        <v>0.4501660027</v>
      </c>
      <c r="T371" s="61">
        <f>(1 / (1 + EXP(-K367*(0.1)))) * (K366-K365) + K365</f>
        <v>0.5498339973</v>
      </c>
      <c r="U371" s="61">
        <f>(1 / (1 + EXP(-K367*(0.4))) - 0.5) * (K366-K365) + K365</f>
        <v>0.1899744811</v>
      </c>
      <c r="V371" s="99">
        <f>(1 / (1 + EXP(-K367*(-0.4))) + 0.5) * (K366-K365) + K365</f>
        <v>0.8100255189</v>
      </c>
      <c r="W371" s="100"/>
      <c r="X371" s="100"/>
      <c r="Y371" s="101"/>
      <c r="Z371" s="102"/>
    </row>
    <row r="372" ht="14.25" customHeight="1">
      <c r="H372" s="103" t="str">
        <f>H371+(I366-I365)/10</f>
        <v>#REF!</v>
      </c>
      <c r="I372" s="61">
        <f>OFFSET(L370,0,I364,1,1)</f>
        <v>0.3</v>
      </c>
      <c r="M372" s="98">
        <f>M371+(M377-M367)/10</f>
        <v>0.5</v>
      </c>
      <c r="N372" s="61">
        <f>N371-(N367-N377)/10</f>
        <v>0.5</v>
      </c>
      <c r="O372" s="61">
        <f>(1 - POWER(0.5,K367)) * (K366-K365) + K365</f>
        <v>0.75</v>
      </c>
      <c r="P372" s="61">
        <f>(1 - POWER(0.5,K367)) * (K366-K365) + K365</f>
        <v>0.75</v>
      </c>
      <c r="Q372" s="61">
        <f>POWER(0.5,K367) * (K366-K365)+K365</f>
        <v>0.25</v>
      </c>
      <c r="R372" s="61">
        <f>POWER(0.5,K367) * (K366-K365)+K365</f>
        <v>0.25</v>
      </c>
      <c r="S372" s="61">
        <f>(1 / (1 + EXP(-K367*(0)))) * (K366-K365) + K365</f>
        <v>0.5</v>
      </c>
      <c r="T372" s="61">
        <f>(1 / (1 + EXP(-K367*(0)))) * (K366-K365) + K365</f>
        <v>0.5</v>
      </c>
      <c r="U372" s="61">
        <f>(1 / (1 + EXP(-K367*(0.5))) - 0.5) * (K366-K365) + K365</f>
        <v>0.2310585786</v>
      </c>
      <c r="V372" s="99">
        <f>(1 / (1 + EXP(-K367*(0.5))) - 0.5) * (K366-K365) + K365</f>
        <v>0.2310585786</v>
      </c>
      <c r="W372" s="100"/>
      <c r="X372" s="100"/>
      <c r="Y372" s="101"/>
      <c r="Z372" s="102"/>
    </row>
    <row r="373" ht="14.25" customHeight="1">
      <c r="H373" s="103" t="str">
        <f>H372+(I366-I365)/10</f>
        <v>#REF!</v>
      </c>
      <c r="I373" s="61">
        <f>OFFSET(L371,0,I364,1,1)</f>
        <v>0.4</v>
      </c>
      <c r="M373" s="98">
        <f>M372+(M377-M367)/10</f>
        <v>0.6</v>
      </c>
      <c r="N373" s="61">
        <f>N372-(N367-N377)/10</f>
        <v>0.4</v>
      </c>
      <c r="O373" s="61">
        <f>(1 - POWER(0.4,K367)) * (K366-K365) + K365</f>
        <v>0.84</v>
      </c>
      <c r="P373" s="61">
        <f>(1 - POWER(0.6,K367)) * (K366-K365) + K365</f>
        <v>0.64</v>
      </c>
      <c r="Q373" s="61">
        <f>POWER(0.6,K367) * (K366-K365)+K365</f>
        <v>0.36</v>
      </c>
      <c r="R373" s="61">
        <f>POWER(0.4,K367) * (K366-K365)+K365</f>
        <v>0.16</v>
      </c>
      <c r="S373" s="61">
        <f>(1 / (1 + EXP(-K367*(0.1)))) * (K366-K365) + K365</f>
        <v>0.5498339973</v>
      </c>
      <c r="T373" s="61">
        <f>(1 / (1 + EXP(-K367*(-0.1)))) * (K366-K365) + K365</f>
        <v>0.4501660027</v>
      </c>
      <c r="U373" s="61">
        <f>(1 / (1 + EXP(-K367*(-0.4))) + 0.5) * (K366-K365) + K365</f>
        <v>0.8100255189</v>
      </c>
      <c r="V373" s="99">
        <f>(1 / (1 + EXP(-K367*(0.4))) - 0.5) * (K366-K365) + K365</f>
        <v>0.1899744811</v>
      </c>
      <c r="W373" s="100"/>
      <c r="X373" s="100"/>
      <c r="Y373" s="101"/>
      <c r="Z373" s="102"/>
    </row>
    <row r="374" ht="14.25" customHeight="1">
      <c r="H374" s="103" t="str">
        <f>H373+(I366-I365)/10</f>
        <v>#REF!</v>
      </c>
      <c r="I374" s="61">
        <f>OFFSET(L372,0,I364,1,1)</f>
        <v>0.5</v>
      </c>
      <c r="M374" s="98">
        <f>M373+(M377-M367)/10</f>
        <v>0.7</v>
      </c>
      <c r="N374" s="61">
        <f>N373-(N367-N377)/10</f>
        <v>0.3</v>
      </c>
      <c r="O374" s="61">
        <f>(1 - POWER(0.3,K367)) * (K366-K365) + K365</f>
        <v>0.91</v>
      </c>
      <c r="P374" s="61">
        <f>(1 - POWER(0.7,K367)) * (K366-K365) + K365</f>
        <v>0.51</v>
      </c>
      <c r="Q374" s="61">
        <f>POWER(0.7,K367) * (K366-K365)+K365</f>
        <v>0.49</v>
      </c>
      <c r="R374" s="61">
        <f>POWER(0.3,K367) * (K366-K365)+K365</f>
        <v>0.09</v>
      </c>
      <c r="S374" s="61">
        <f>(1 / (1 + EXP(-K367*(0.2)))) * (K366-K365) + K365</f>
        <v>0.5986876601</v>
      </c>
      <c r="T374" s="61">
        <f>(1 / (1 + EXP(-K367*(-0.2)))) * (K366-K365) + K365</f>
        <v>0.4013123399</v>
      </c>
      <c r="U374" s="61">
        <f>(1 / (1 + EXP(-K367*(-0.3))) + 0.5) * (K366-K365) + K365</f>
        <v>0.8543436938</v>
      </c>
      <c r="V374" s="99">
        <f>(1 / (1 + EXP(-K367*(0.3))) - 0.5) * (K366-K365) + K365</f>
        <v>0.1456563062</v>
      </c>
      <c r="W374" s="100"/>
      <c r="X374" s="100"/>
      <c r="Y374" s="101"/>
      <c r="Z374" s="102"/>
    </row>
    <row r="375" ht="14.25" customHeight="1">
      <c r="H375" s="103" t="str">
        <f>H374+(I366-I365)/10</f>
        <v>#REF!</v>
      </c>
      <c r="I375" s="61">
        <f>OFFSET(L373,0,I364,1,1)</f>
        <v>0.6</v>
      </c>
      <c r="M375" s="98">
        <f>M374+(M377-M367)/10</f>
        <v>0.8</v>
      </c>
      <c r="N375" s="61">
        <f>N374-(N367-N377)/10</f>
        <v>0.2</v>
      </c>
      <c r="O375" s="61">
        <f>(1 - POWER(0.2,K367)) * (K366-K365) + K365</f>
        <v>0.96</v>
      </c>
      <c r="P375" s="61">
        <f>(1 - POWER(0.8,K367)) * (K366-K365) + K365</f>
        <v>0.36</v>
      </c>
      <c r="Q375" s="61">
        <f>POWER(0.8,K367) * (K366-K365)+K365</f>
        <v>0.64</v>
      </c>
      <c r="R375" s="61">
        <f>POWER(0.2,K367) * (K366-K365)+K365</f>
        <v>0.04</v>
      </c>
      <c r="S375" s="61">
        <f>(1 / (1 + EXP(-K367*(0.3)))) * (K366-K365) + K365</f>
        <v>0.6456563062</v>
      </c>
      <c r="T375" s="61">
        <f>(1 / (1 + EXP(-K367*(-0.3)))) * (K366-K365) + K365</f>
        <v>0.3543436938</v>
      </c>
      <c r="U375" s="61">
        <f>(1 / (1 + EXP(-K367*(-0.2))) + 0.5) * (K366-K365) + K365</f>
        <v>0.9013123399</v>
      </c>
      <c r="V375" s="99">
        <f>(1 / (1 + EXP(-K367*(0.2))) - 0.5) *  (K366-K365) + K365</f>
        <v>0.09868766011</v>
      </c>
      <c r="W375" s="100"/>
      <c r="X375" s="100"/>
      <c r="Y375" s="101"/>
      <c r="Z375" s="102"/>
    </row>
    <row r="376" ht="14.25" customHeight="1">
      <c r="H376" s="103" t="str">
        <f>H375+(I366-I365)/10</f>
        <v>#REF!</v>
      </c>
      <c r="I376" s="61">
        <f>OFFSET(L374,0,I364,1,1)</f>
        <v>0.7</v>
      </c>
      <c r="M376" s="98">
        <f>M375+(M377-M367)/10</f>
        <v>0.9</v>
      </c>
      <c r="N376" s="61">
        <f>N375-(N367-N377)/10</f>
        <v>0.1</v>
      </c>
      <c r="O376" s="61">
        <f>(1 - POWER(0.1,K367)) * (K366-K365) + K365</f>
        <v>0.99</v>
      </c>
      <c r="P376" s="61">
        <f>(1 - POWER(0.9,K367)) * (K366-K365) + K365</f>
        <v>0.19</v>
      </c>
      <c r="Q376" s="61">
        <f>POWER(0.9,K367) * (K366-K365)+K365</f>
        <v>0.81</v>
      </c>
      <c r="R376" s="61">
        <f>POWER(0.1,K367) * (K366-K365)+K365</f>
        <v>0.01</v>
      </c>
      <c r="S376" s="61">
        <f>(1 / (1 + EXP(-K367*(0.4)))) * (K366-K365) + K365</f>
        <v>0.6899744811</v>
      </c>
      <c r="T376" s="61">
        <f>(1 / (1 + EXP(-K367*(-0.4)))) * (K366-K365) + K365</f>
        <v>0.3100255189</v>
      </c>
      <c r="U376" s="61">
        <f>(1 / (1 + EXP(-K367*(-0.1))) + 0.5) * (K366-K365) + K365</f>
        <v>0.9501660027</v>
      </c>
      <c r="V376" s="99">
        <f>(1 / (1 + EXP(-K367*(0.1))) - 0.5) * (K366-K365) + K365</f>
        <v>0.04983399731</v>
      </c>
      <c r="W376" s="100"/>
      <c r="X376" s="100"/>
      <c r="Y376" s="101"/>
      <c r="Z376" s="102"/>
    </row>
    <row r="377" ht="14.25" customHeight="1">
      <c r="H377" s="103" t="str">
        <f>H376+(I366-I365)/10</f>
        <v>#REF!</v>
      </c>
      <c r="I377" s="61">
        <f>OFFSET(L375,0,I364,1,1)</f>
        <v>0.8</v>
      </c>
      <c r="M377" s="104">
        <f>K366</f>
        <v>1</v>
      </c>
      <c r="N377" s="105">
        <f>K365</f>
        <v>0</v>
      </c>
      <c r="O377" s="105">
        <f>K366</f>
        <v>1</v>
      </c>
      <c r="P377" s="105">
        <f>K365</f>
        <v>0</v>
      </c>
      <c r="Q377" s="105">
        <f>K366</f>
        <v>1</v>
      </c>
      <c r="R377" s="105">
        <f>K365</f>
        <v>0</v>
      </c>
      <c r="S377" s="105">
        <f>K366</f>
        <v>1</v>
      </c>
      <c r="T377" s="105">
        <f>K365</f>
        <v>0</v>
      </c>
      <c r="U377" s="105">
        <f>K366</f>
        <v>1</v>
      </c>
      <c r="V377" s="106">
        <f>K365</f>
        <v>0</v>
      </c>
      <c r="W377" s="107"/>
      <c r="X377" s="107"/>
      <c r="Y377" s="108"/>
      <c r="Z377" s="109"/>
    </row>
    <row r="378" ht="14.25" customHeight="1">
      <c r="H378" s="103" t="str">
        <f>H377+(I366-I365)/10</f>
        <v>#REF!</v>
      </c>
      <c r="I378" s="61">
        <f>OFFSET(L376,0,I364,1,1)</f>
        <v>0.9</v>
      </c>
    </row>
    <row r="379" ht="14.25" customHeight="1">
      <c r="H379" s="103" t="str">
        <f>I366</f>
        <v>#REF!</v>
      </c>
      <c r="I379" s="61">
        <f>OFFSET(L377,0,I364,1,1)</f>
        <v>1</v>
      </c>
    </row>
    <row r="380" ht="14.25" customHeight="1">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c r="C519" s="3" t="s">
        <v>71</v>
      </c>
    </row>
    <row r="520" ht="14.25" customHeight="1">
      <c r="C520" s="3" t="s">
        <v>72</v>
      </c>
    </row>
    <row r="521" ht="14.25" customHeight="1">
      <c r="C521" s="3" t="s">
        <v>73</v>
      </c>
    </row>
    <row r="522" ht="14.25" customHeight="1">
      <c r="C522" s="3" t="s">
        <v>74</v>
      </c>
    </row>
    <row r="523" ht="14.25" customHeight="1">
      <c r="C523" s="3" t="s">
        <v>75</v>
      </c>
    </row>
    <row r="524" ht="14.25" customHeight="1">
      <c r="C524" s="3" t="s">
        <v>76</v>
      </c>
    </row>
    <row r="525" ht="14.25" customHeight="1">
      <c r="C525" s="3" t="s">
        <v>77</v>
      </c>
    </row>
    <row r="526" ht="14.25" customHeight="1">
      <c r="C526" s="3" t="s">
        <v>78</v>
      </c>
    </row>
    <row r="527" ht="14.25" customHeight="1">
      <c r="C527" s="3" t="s">
        <v>79</v>
      </c>
    </row>
    <row r="528" ht="14.25" customHeight="1">
      <c r="C528" s="3" t="s">
        <v>80</v>
      </c>
    </row>
    <row r="529" ht="14.25" customHeight="1">
      <c r="C529" s="3" t="s">
        <v>81</v>
      </c>
    </row>
    <row r="530" ht="14.25" customHeight="1">
      <c r="C530" s="3" t="s">
        <v>82</v>
      </c>
    </row>
    <row r="531" ht="14.25" customHeight="1">
      <c r="C531" s="3" t="s">
        <v>83</v>
      </c>
    </row>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61">
    <mergeCell ref="B2:Z19"/>
    <mergeCell ref="M22:V22"/>
    <mergeCell ref="W22:X23"/>
    <mergeCell ref="Y22:Z23"/>
    <mergeCell ref="M23:N23"/>
    <mergeCell ref="O23:P23"/>
    <mergeCell ref="Q23:R23"/>
    <mergeCell ref="S23:T23"/>
    <mergeCell ref="U23:V23"/>
    <mergeCell ref="M40:V40"/>
    <mergeCell ref="W40:X41"/>
    <mergeCell ref="Y40:Z41"/>
    <mergeCell ref="M41:N41"/>
    <mergeCell ref="O41:P41"/>
    <mergeCell ref="U41:V41"/>
    <mergeCell ref="Q41:R41"/>
    <mergeCell ref="S41:T41"/>
    <mergeCell ref="M58:V58"/>
    <mergeCell ref="W58:X59"/>
    <mergeCell ref="Y58:Z59"/>
    <mergeCell ref="M59:N59"/>
    <mergeCell ref="O59:P59"/>
    <mergeCell ref="U59:V59"/>
    <mergeCell ref="Q59:R59"/>
    <mergeCell ref="S59:T59"/>
    <mergeCell ref="M76:V76"/>
    <mergeCell ref="W76:X77"/>
    <mergeCell ref="Y76:Z77"/>
    <mergeCell ref="M77:N77"/>
    <mergeCell ref="O77:P77"/>
    <mergeCell ref="U77:V77"/>
    <mergeCell ref="Q77:R77"/>
    <mergeCell ref="S77:T77"/>
    <mergeCell ref="M94:V94"/>
    <mergeCell ref="W94:X95"/>
    <mergeCell ref="Y94:Z95"/>
    <mergeCell ref="M95:N95"/>
    <mergeCell ref="O95:P95"/>
    <mergeCell ref="U95:V95"/>
    <mergeCell ref="Q95:R95"/>
    <mergeCell ref="S95:T95"/>
    <mergeCell ref="M112:V112"/>
    <mergeCell ref="W112:X113"/>
    <mergeCell ref="Y112:Z113"/>
    <mergeCell ref="M113:N113"/>
    <mergeCell ref="O113:P113"/>
    <mergeCell ref="U113:V113"/>
    <mergeCell ref="Q149:R149"/>
    <mergeCell ref="S149:T149"/>
    <mergeCell ref="Q221:R221"/>
    <mergeCell ref="S221:T221"/>
    <mergeCell ref="M238:V238"/>
    <mergeCell ref="W238:X239"/>
    <mergeCell ref="Y238:Z239"/>
    <mergeCell ref="M239:N239"/>
    <mergeCell ref="O239:P239"/>
    <mergeCell ref="U239:V239"/>
    <mergeCell ref="Q239:R239"/>
    <mergeCell ref="S239:T239"/>
    <mergeCell ref="M256:V256"/>
    <mergeCell ref="W256:X257"/>
    <mergeCell ref="Y256:Z257"/>
    <mergeCell ref="M257:N257"/>
    <mergeCell ref="O257:P257"/>
    <mergeCell ref="U257:V257"/>
    <mergeCell ref="Q257:R257"/>
    <mergeCell ref="S257:T257"/>
    <mergeCell ref="M274:V274"/>
    <mergeCell ref="W274:X275"/>
    <mergeCell ref="Y274:Z275"/>
    <mergeCell ref="M275:N275"/>
    <mergeCell ref="O275:P275"/>
    <mergeCell ref="U275:V275"/>
    <mergeCell ref="Q275:R275"/>
    <mergeCell ref="S275:T275"/>
    <mergeCell ref="M292:V292"/>
    <mergeCell ref="W292:X293"/>
    <mergeCell ref="Y292:Z293"/>
    <mergeCell ref="M293:N293"/>
    <mergeCell ref="O293:P293"/>
    <mergeCell ref="U293:V293"/>
    <mergeCell ref="Q293:R293"/>
    <mergeCell ref="S293:T293"/>
    <mergeCell ref="M310:V310"/>
    <mergeCell ref="W310:X311"/>
    <mergeCell ref="Y310:Z311"/>
    <mergeCell ref="M311:N311"/>
    <mergeCell ref="O311:P311"/>
    <mergeCell ref="U311:V311"/>
    <mergeCell ref="Q311:R311"/>
    <mergeCell ref="S311:T311"/>
    <mergeCell ref="M328:V328"/>
    <mergeCell ref="W328:X329"/>
    <mergeCell ref="Y328:Z329"/>
    <mergeCell ref="M329:N329"/>
    <mergeCell ref="O329:P329"/>
    <mergeCell ref="U329:V329"/>
    <mergeCell ref="Q329:R329"/>
    <mergeCell ref="S329:T329"/>
    <mergeCell ref="M346:V346"/>
    <mergeCell ref="W346:X347"/>
    <mergeCell ref="Y346:Z347"/>
    <mergeCell ref="M347:N347"/>
    <mergeCell ref="O347:P347"/>
    <mergeCell ref="U347:V347"/>
    <mergeCell ref="Q347:R347"/>
    <mergeCell ref="S347:T347"/>
    <mergeCell ref="M364:V364"/>
    <mergeCell ref="W364:X365"/>
    <mergeCell ref="Y364:Z365"/>
    <mergeCell ref="M365:N365"/>
    <mergeCell ref="O365:P365"/>
    <mergeCell ref="U365:V365"/>
    <mergeCell ref="Q113:R113"/>
    <mergeCell ref="S113:T113"/>
    <mergeCell ref="M130:V130"/>
    <mergeCell ref="W130:X131"/>
    <mergeCell ref="Y130:Z131"/>
    <mergeCell ref="M131:N131"/>
    <mergeCell ref="O131:P131"/>
    <mergeCell ref="U131:V131"/>
    <mergeCell ref="Q131:R131"/>
    <mergeCell ref="S131:T131"/>
    <mergeCell ref="M148:V148"/>
    <mergeCell ref="W148:X149"/>
    <mergeCell ref="Y148:Z149"/>
    <mergeCell ref="M149:N149"/>
    <mergeCell ref="O149:P149"/>
    <mergeCell ref="U149:V149"/>
    <mergeCell ref="M166:V166"/>
    <mergeCell ref="W166:X167"/>
    <mergeCell ref="Y166:Z167"/>
    <mergeCell ref="M167:N167"/>
    <mergeCell ref="O167:P167"/>
    <mergeCell ref="Q167:R167"/>
    <mergeCell ref="S167:T167"/>
    <mergeCell ref="U167:V167"/>
    <mergeCell ref="M184:V184"/>
    <mergeCell ref="W184:X185"/>
    <mergeCell ref="Y184:Z185"/>
    <mergeCell ref="M185:N185"/>
    <mergeCell ref="O185:P185"/>
    <mergeCell ref="U185:V185"/>
    <mergeCell ref="Q185:R185"/>
    <mergeCell ref="S185:T185"/>
    <mergeCell ref="M202:V202"/>
    <mergeCell ref="W202:X203"/>
    <mergeCell ref="Y202:Z203"/>
    <mergeCell ref="M203:N203"/>
    <mergeCell ref="O203:P203"/>
    <mergeCell ref="U203:V203"/>
    <mergeCell ref="Q203:R203"/>
    <mergeCell ref="S203:T203"/>
    <mergeCell ref="M220:V220"/>
    <mergeCell ref="W220:X221"/>
    <mergeCell ref="Y220:Z221"/>
    <mergeCell ref="M221:N221"/>
    <mergeCell ref="O221:P221"/>
    <mergeCell ref="U221:V221"/>
    <mergeCell ref="Q365:R365"/>
    <mergeCell ref="S365:T365"/>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6" width="8.71"/>
    <col customWidth="1" min="17" max="17" width="3.0"/>
    <col customWidth="1" min="18" max="23" width="8.71"/>
    <col customWidth="1" min="24" max="24" width="3.0"/>
    <col customWidth="1" min="25" max="27" width="8.71"/>
  </cols>
  <sheetData>
    <row r="1" ht="14.25" customHeight="1"/>
    <row r="2" ht="14.25" customHeight="1"/>
    <row r="3" ht="14.25" customHeight="1">
      <c r="R3" s="53" t="s">
        <v>84</v>
      </c>
      <c r="S3" s="54"/>
      <c r="T3" s="54"/>
      <c r="U3" s="55"/>
    </row>
    <row r="4" ht="14.25" customHeight="1">
      <c r="S4" s="63">
        <v>1.0</v>
      </c>
    </row>
    <row r="5" ht="15.0" customHeight="1">
      <c r="Y5" s="111" t="s">
        <v>85</v>
      </c>
      <c r="Z5" s="112"/>
      <c r="AA5" s="77"/>
    </row>
    <row r="6" ht="14.25" customHeight="1">
      <c r="R6" s="53" t="s">
        <v>86</v>
      </c>
      <c r="S6" s="54"/>
      <c r="T6" s="54"/>
      <c r="U6" s="55"/>
      <c r="Y6" s="82"/>
      <c r="Z6" s="113"/>
      <c r="AA6" s="83"/>
    </row>
    <row r="7" ht="14.25" customHeight="1">
      <c r="R7" s="114">
        <v>0.0</v>
      </c>
      <c r="Y7" s="114">
        <f t="array" ref="Y7">INDEX( Evaluation!DG6:DG12, S4 )</f>
        <v>15</v>
      </c>
    </row>
    <row r="8" ht="14.25" customHeight="1"/>
    <row r="9" ht="14.25" customHeight="1">
      <c r="R9" s="53" t="s">
        <v>87</v>
      </c>
      <c r="S9" s="54"/>
      <c r="T9" s="54"/>
      <c r="U9" s="55"/>
    </row>
    <row r="10" ht="14.25" customHeight="1">
      <c r="R10" s="114">
        <v>100.0</v>
      </c>
    </row>
    <row r="11" ht="14.25" customHeight="1"/>
    <row r="12" ht="14.25" customHeight="1"/>
    <row r="13" ht="15.0" customHeight="1">
      <c r="R13" s="115" t="s">
        <v>88</v>
      </c>
      <c r="S13" s="112"/>
      <c r="T13" s="112"/>
      <c r="U13" s="77"/>
      <c r="V13" s="116" t="s">
        <v>89</v>
      </c>
      <c r="W13" s="116" t="s">
        <v>90</v>
      </c>
    </row>
    <row r="14" ht="14.25" customHeight="1">
      <c r="R14" s="82"/>
      <c r="S14" s="113"/>
      <c r="T14" s="113"/>
      <c r="U14" s="83"/>
      <c r="V14" s="117"/>
      <c r="W14" s="117"/>
    </row>
    <row r="15" ht="14.25" customHeight="1">
      <c r="R15" s="118" t="str">
        <f>'Raw Data'!A3</f>
        <v>Filter in spike, two chamber, clamp in</v>
      </c>
      <c r="S15" s="54"/>
      <c r="T15" s="54"/>
      <c r="U15" s="55"/>
      <c r="V15" s="60" t="str">
        <f>'Calc - SA'!$B$20</f>
        <v>#REF!</v>
      </c>
      <c r="W15" s="60" t="str">
        <f>'Calc - SA'!$B$30</f>
        <v>#REF!</v>
      </c>
    </row>
    <row r="16" ht="14.25" customHeight="1">
      <c r="R16" s="118" t="str">
        <f>'Raw Data'!A4</f>
        <v>Filter in bottom chamber, two chamber, clamp in</v>
      </c>
      <c r="S16" s="54"/>
      <c r="T16" s="54"/>
      <c r="U16" s="55"/>
      <c r="V16" s="60" t="str">
        <f>'Calc - SA'!$C$20</f>
        <v>#REF!</v>
      </c>
      <c r="W16" s="60" t="str">
        <f>'Calc - SA'!$C$30</f>
        <v>#REF!</v>
      </c>
    </row>
    <row r="17" ht="14.25" customHeight="1">
      <c r="R17" s="118" t="str">
        <f>'Raw Data'!A5</f>
        <v>Filter in spike, two chamber, screw in</v>
      </c>
      <c r="S17" s="54"/>
      <c r="T17" s="54"/>
      <c r="U17" s="55"/>
      <c r="V17" s="60" t="str">
        <f>'Calc - SA'!$D$20</f>
        <v>#REF!</v>
      </c>
      <c r="W17" s="60" t="str">
        <f>'Calc - SA'!$D$30</f>
        <v>#REF!</v>
      </c>
    </row>
    <row r="18" ht="14.25" customHeight="1">
      <c r="R18" s="118" t="str">
        <f>'Raw Data'!A6</f>
        <v>Filter in bottom chamber, two chamber, screw in</v>
      </c>
      <c r="S18" s="54"/>
      <c r="T18" s="54"/>
      <c r="U18" s="55"/>
      <c r="V18" s="60" t="str">
        <f>'Calc - SA'!$F$20</f>
        <v>#REF!</v>
      </c>
      <c r="W18" s="60" t="str">
        <f>'Calc - SA'!$F$30</f>
        <v>#REF!</v>
      </c>
    </row>
    <row r="19" ht="14.25" customHeight="1">
      <c r="R19" s="118" t="str">
        <f>'Raw Data'!A7</f>
        <v>Single Chamber flat filter</v>
      </c>
      <c r="S19" s="54"/>
      <c r="T19" s="54"/>
      <c r="U19" s="55"/>
      <c r="V19" s="60" t="str">
        <f>'Calc - SA'!$J$20</f>
        <v>#REF!</v>
      </c>
      <c r="W19" s="60" t="str">
        <f>'Calc - SA'!$J$30</f>
        <v>#REF!</v>
      </c>
    </row>
    <row r="20" ht="14.25" customHeight="1">
      <c r="R20" s="118" t="str">
        <f>'Raw Data'!A8</f>
        <v>Single chamber, cone filter</v>
      </c>
      <c r="S20" s="54"/>
      <c r="T20" s="54"/>
      <c r="U20" s="55"/>
      <c r="V20" s="60" t="str">
        <f>'Calc - SA'!$K$20</f>
        <v>#REF!</v>
      </c>
      <c r="W20" s="60" t="str">
        <f>'Calc - SA'!$K$30</f>
        <v>#REF!</v>
      </c>
    </row>
    <row r="21" ht="14.25" customHeight="1">
      <c r="R21" s="118" t="str">
        <f>#REF!</f>
        <v>#REF!</v>
      </c>
      <c r="S21" s="54"/>
      <c r="T21" s="54"/>
      <c r="U21" s="55"/>
      <c r="V21" s="60" t="str">
        <f>'Calc - SA'!$L$20</f>
        <v>#REF!</v>
      </c>
      <c r="W21" s="60" t="str">
        <f>'Calc - SA'!$L$30</f>
        <v>#REF!</v>
      </c>
    </row>
    <row r="22" ht="14.25" customHeight="1">
      <c r="B22" s="5"/>
      <c r="C22" s="6"/>
      <c r="D22" s="6"/>
      <c r="E22" s="6"/>
      <c r="F22" s="6"/>
      <c r="G22" s="6"/>
      <c r="H22" s="6"/>
      <c r="I22" s="6"/>
      <c r="J22" s="6"/>
      <c r="K22" s="6"/>
      <c r="L22" s="6"/>
      <c r="M22" s="6"/>
      <c r="N22" s="6"/>
      <c r="O22" s="6"/>
      <c r="P22" s="7"/>
    </row>
    <row r="23" ht="14.25" customHeight="1">
      <c r="B23" s="9"/>
      <c r="P23" s="10"/>
    </row>
    <row r="24" ht="14.25" customHeight="1">
      <c r="B24" s="9"/>
      <c r="P24" s="10"/>
    </row>
    <row r="25" ht="14.25" customHeight="1">
      <c r="B25" s="9"/>
      <c r="P25" s="10"/>
    </row>
    <row r="26" ht="14.25" customHeight="1">
      <c r="B26" s="9"/>
      <c r="P26" s="10"/>
    </row>
    <row r="27" ht="14.25" customHeight="1">
      <c r="B27" s="9"/>
      <c r="P27" s="10"/>
    </row>
    <row r="28" ht="14.25" customHeight="1">
      <c r="B28" s="9"/>
      <c r="P28" s="10"/>
    </row>
    <row r="29" ht="14.25" customHeight="1">
      <c r="B29" s="9"/>
      <c r="P29" s="10"/>
    </row>
    <row r="30" ht="14.25" customHeight="1">
      <c r="B30" s="9"/>
      <c r="P30" s="10"/>
    </row>
    <row r="31" ht="14.25" customHeight="1">
      <c r="B31" s="9"/>
      <c r="P31" s="10"/>
    </row>
    <row r="32" ht="14.25" customHeight="1">
      <c r="B32" s="9"/>
      <c r="P32" s="10"/>
    </row>
    <row r="33" ht="14.25" customHeight="1">
      <c r="B33" s="9"/>
      <c r="P33" s="10"/>
    </row>
    <row r="34" ht="14.25" customHeight="1">
      <c r="B34" s="9"/>
      <c r="P34" s="10"/>
    </row>
    <row r="35" ht="14.25" customHeight="1">
      <c r="B35" s="9"/>
      <c r="P35" s="10"/>
    </row>
    <row r="36" ht="14.25" customHeight="1">
      <c r="B36" s="11"/>
      <c r="C36" s="12"/>
      <c r="D36" s="12"/>
      <c r="E36" s="12"/>
      <c r="F36" s="12"/>
      <c r="G36" s="12"/>
      <c r="H36" s="12"/>
      <c r="I36" s="12"/>
      <c r="J36" s="12"/>
      <c r="K36" s="12"/>
      <c r="L36" s="12"/>
      <c r="M36" s="12"/>
      <c r="N36" s="12"/>
      <c r="O36" s="12"/>
      <c r="P36" s="13"/>
    </row>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sheetData>
  <mergeCells count="15">
    <mergeCell ref="R15:U15"/>
    <mergeCell ref="R16:U16"/>
    <mergeCell ref="R17:U17"/>
    <mergeCell ref="R18:U18"/>
    <mergeCell ref="R19:U19"/>
    <mergeCell ref="R20:U20"/>
    <mergeCell ref="R21:U21"/>
    <mergeCell ref="B22:P36"/>
    <mergeCell ref="R3:U3"/>
    <mergeCell ref="Y5:AA6"/>
    <mergeCell ref="R6:U6"/>
    <mergeCell ref="R9:U9"/>
    <mergeCell ref="R13:U14"/>
    <mergeCell ref="V13:V14"/>
    <mergeCell ref="W13:W14"/>
  </mergeCells>
  <conditionalFormatting sqref="R15:W21">
    <cfRule type="expression" dxfId="0" priority="1">
      <formula>$V15&lt;&gt;$W15</formula>
    </cfRule>
  </conditionalFormatting>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4.43" defaultRowHeight="15.0"/>
  <cols>
    <col customWidth="1" min="1" max="1" width="18.71"/>
    <col customWidth="1" min="2" max="26" width="16.0"/>
  </cols>
  <sheetData>
    <row r="1" ht="14.25" customHeight="1">
      <c r="B1" s="64" t="s">
        <v>91</v>
      </c>
      <c r="C1" s="54"/>
      <c r="D1" s="54"/>
      <c r="E1" s="54"/>
      <c r="F1" s="54"/>
      <c r="G1" s="54"/>
      <c r="H1" s="54"/>
      <c r="I1" s="54"/>
      <c r="J1" s="54"/>
      <c r="K1" s="54"/>
      <c r="L1" s="54"/>
      <c r="M1" s="54"/>
      <c r="N1" s="54"/>
      <c r="O1" s="54"/>
      <c r="P1" s="54"/>
      <c r="Q1" s="54"/>
      <c r="R1" s="54"/>
      <c r="S1" s="54"/>
      <c r="T1" s="54"/>
      <c r="U1" s="54"/>
      <c r="V1" s="54"/>
      <c r="W1" s="54"/>
      <c r="X1" s="54"/>
      <c r="Y1" s="54"/>
      <c r="Z1" s="55"/>
    </row>
    <row r="2" ht="14.25" customHeight="1">
      <c r="B2" s="56" t="str">
        <f>'Raw Data'!A3</f>
        <v>Filter in spike, two chamber, clamp in</v>
      </c>
      <c r="C2" s="56" t="str">
        <f>'Raw Data'!A4</f>
        <v>Filter in bottom chamber, two chamber, clamp in</v>
      </c>
      <c r="D2" s="56" t="str">
        <f>'Raw Data'!A5</f>
        <v>Filter in spike, two chamber, screw in</v>
      </c>
      <c r="E2" s="56" t="str">
        <f>#REF!</f>
        <v>#REF!</v>
      </c>
      <c r="F2" s="56" t="str">
        <f>'Raw Data'!A6</f>
        <v>Filter in bottom chamber, two chamber, screw in</v>
      </c>
      <c r="G2" s="56" t="str">
        <f t="shared" ref="G2:I2" si="1">#REF!</f>
        <v>#REF!</v>
      </c>
      <c r="H2" s="56" t="str">
        <f t="shared" si="1"/>
        <v>#REF!</v>
      </c>
      <c r="I2" s="56" t="str">
        <f t="shared" si="1"/>
        <v>#REF!</v>
      </c>
      <c r="J2" s="56" t="str">
        <f>'Raw Data'!A7</f>
        <v>Single Chamber flat filter</v>
      </c>
      <c r="K2" s="56" t="str">
        <f>'Raw Data'!A8</f>
        <v>Single chamber, cone filter</v>
      </c>
      <c r="L2" s="56" t="str">
        <f>#REF!</f>
        <v>#REF!</v>
      </c>
      <c r="M2" s="56" t="str">
        <f t="shared" ref="M2:Z2" si="2">#REF!</f>
        <v>#REF!</v>
      </c>
      <c r="N2" s="56" t="str">
        <f t="shared" si="2"/>
        <v>#REF!</v>
      </c>
      <c r="O2" s="56" t="str">
        <f t="shared" si="2"/>
        <v>#REF!</v>
      </c>
      <c r="P2" s="56" t="str">
        <f t="shared" si="2"/>
        <v>#REF!</v>
      </c>
      <c r="Q2" s="56" t="str">
        <f t="shared" si="2"/>
        <v>#REF!</v>
      </c>
      <c r="R2" s="56" t="str">
        <f t="shared" si="2"/>
        <v>#REF!</v>
      </c>
      <c r="S2" s="56" t="str">
        <f t="shared" si="2"/>
        <v>#REF!</v>
      </c>
      <c r="T2" s="56" t="str">
        <f t="shared" si="2"/>
        <v>#REF!</v>
      </c>
      <c r="U2" s="56" t="str">
        <f t="shared" si="2"/>
        <v>#REF!</v>
      </c>
      <c r="V2" s="56" t="str">
        <f t="shared" si="2"/>
        <v>#REF!</v>
      </c>
      <c r="W2" s="56" t="str">
        <f t="shared" si="2"/>
        <v>#REF!</v>
      </c>
      <c r="X2" s="56" t="str">
        <f t="shared" si="2"/>
        <v>#REF!</v>
      </c>
      <c r="Y2" s="56" t="str">
        <f t="shared" si="2"/>
        <v>#REF!</v>
      </c>
      <c r="Z2" s="56" t="str">
        <f t="shared" si="2"/>
        <v>#REF!</v>
      </c>
    </row>
    <row r="3" ht="14.25" customHeight="1">
      <c r="A3" s="119" t="str">
        <f>'Raw Data'!A3</f>
        <v>Filter in spike, two chamber, clamp in</v>
      </c>
      <c r="B3" s="120"/>
      <c r="C3" s="121"/>
      <c r="D3" s="121"/>
      <c r="E3" s="121"/>
      <c r="F3" s="121"/>
      <c r="G3" s="121"/>
      <c r="H3" s="121"/>
      <c r="I3" s="121"/>
      <c r="J3" s="121"/>
      <c r="K3" s="121"/>
      <c r="L3" s="121"/>
      <c r="M3" s="121"/>
      <c r="N3" s="121"/>
      <c r="O3" s="121"/>
      <c r="P3" s="121"/>
      <c r="Q3" s="121"/>
      <c r="R3" s="121"/>
      <c r="S3" s="121"/>
      <c r="T3" s="121"/>
      <c r="U3" s="121"/>
      <c r="V3" s="121"/>
      <c r="W3" s="121"/>
      <c r="X3" s="121"/>
      <c r="Y3" s="121"/>
      <c r="Z3" s="121"/>
    </row>
    <row r="4" ht="14.25" customHeight="1">
      <c r="A4" s="119" t="str">
        <f>'Raw Data'!A4</f>
        <v>Filter in bottom chamber, two chamber, clamp in</v>
      </c>
      <c r="B4" s="122" t="str">
        <f>(  ('Calc - SA'!$A$4*'Calc - SA'!B$14 - 'Calc - SA'!B$4*'Calc - SA'!$A$14)*( 'Calc - SA'!$A$4 - 'Calc - SA'!$A$14) - ('Calc - SA'!$A$4 - 'Calc - SA'!$A$14)*('Calc - SA'!$A$4*'Calc - SA'!$C$14 - 'Calc - SA'!$C$4*'Calc - SA'!$A$14)  )  /  ( ('Calc - SA'!$A$4 - 'Calc - SA'!$A$14)*('Calc - SA'!$C$4 - 'Calc - SA'!$C$14) - ('Calc - SA'!B$4 - 'Calc - SA'!B$14)*('Calc - SA'!$A$4 - 'Calc - SA'!$A$14) )</f>
        <v>#REF!</v>
      </c>
      <c r="C4" s="120"/>
      <c r="D4" s="121"/>
      <c r="E4" s="121"/>
      <c r="F4" s="121"/>
      <c r="G4" s="121"/>
      <c r="H4" s="121"/>
      <c r="I4" s="121"/>
      <c r="J4" s="121"/>
      <c r="K4" s="121"/>
      <c r="L4" s="121"/>
      <c r="M4" s="121"/>
      <c r="N4" s="121"/>
      <c r="O4" s="121"/>
      <c r="P4" s="121"/>
      <c r="Q4" s="121"/>
      <c r="R4" s="121"/>
      <c r="S4" s="121"/>
      <c r="T4" s="121"/>
      <c r="U4" s="121"/>
      <c r="V4" s="121"/>
      <c r="W4" s="121"/>
      <c r="X4" s="121"/>
      <c r="Y4" s="121"/>
      <c r="Z4" s="121"/>
    </row>
    <row r="5" ht="14.25" customHeight="1">
      <c r="A5" s="119" t="str">
        <f>'Raw Data'!A5</f>
        <v>Filter in spike, two chamber, screw in</v>
      </c>
      <c r="B5" s="122" t="str">
        <f>(  ('Calc - SA'!$A$4*'Calc - SA'!B$14 - 'Calc - SA'!B$4*'Calc - SA'!$A$14)*( 'Calc - SA'!$A$4 - 'Calc - SA'!$A$14) - ('Calc - SA'!$A$4 - 'Calc - SA'!$A$14)*('Calc - SA'!$A$4*'Calc - SA'!$D$14 - 'Calc - SA'!$D$4*'Calc - SA'!$A$14)  )  /  ( ('Calc - SA'!$A$4 - 'Calc - SA'!$A$14)*('Calc - SA'!$D$4 - 'Calc - SA'!$D$14) - ('Calc - SA'!B$4 - 'Calc - SA'!B$14)*('Calc - SA'!$A$4 - 'Calc - SA'!$A$14) )</f>
        <v>#REF!</v>
      </c>
      <c r="C5" s="122" t="str">
        <f>(  ('Calc - SA'!$A$4*'Calc - SA'!C$14 - 'Calc - SA'!C$4*'Calc - SA'!$A$14)*( 'Calc - SA'!$A$4 - 'Calc - SA'!$A$14) - ('Calc - SA'!$A$4 - 'Calc - SA'!$A$14)*('Calc - SA'!$A$4*'Calc - SA'!$D$14 - 'Calc - SA'!$D$4*'Calc - SA'!$A$14)  )  /  ( ('Calc - SA'!$A$4 - 'Calc - SA'!$A$14)*('Calc - SA'!$D$4 - 'Calc - SA'!$D$14) - ('Calc - SA'!C$4 - 'Calc - SA'!C$14)*('Calc - SA'!$A$4 - 'Calc - SA'!$A$14) )</f>
        <v>#REF!</v>
      </c>
      <c r="D5" s="121"/>
      <c r="E5" s="121"/>
      <c r="F5" s="121"/>
      <c r="G5" s="121"/>
      <c r="H5" s="121"/>
      <c r="I5" s="121"/>
      <c r="J5" s="121"/>
      <c r="K5" s="121"/>
      <c r="L5" s="121"/>
      <c r="M5" s="121"/>
      <c r="N5" s="121"/>
      <c r="O5" s="121"/>
      <c r="P5" s="121"/>
      <c r="Q5" s="121"/>
      <c r="R5" s="121"/>
      <c r="S5" s="121"/>
      <c r="T5" s="121"/>
      <c r="U5" s="121"/>
      <c r="V5" s="121"/>
      <c r="W5" s="121"/>
      <c r="X5" s="121"/>
      <c r="Y5" s="121"/>
      <c r="Z5" s="121"/>
    </row>
    <row r="6" ht="14.25" customHeight="1">
      <c r="A6" s="119" t="str">
        <f>#REF!</f>
        <v>#REF!</v>
      </c>
      <c r="B6" s="122" t="str">
        <f>(  ('Calc - SA'!$A$4*'Calc - SA'!B$14 - 'Calc - SA'!B$4*'Calc - SA'!$A$14)*( 'Calc - SA'!$A$4 - 'Calc - SA'!$A$14) - ('Calc - SA'!$A$4 - 'Calc - SA'!$A$14)*('Calc - SA'!$A$4*'Calc - SA'!$E$14 - 'Calc - SA'!$E$4*'Calc - SA'!$A$14)  )  /  ( ('Calc - SA'!$A$4 - 'Calc - SA'!$A$14)*('Calc - SA'!$E$4 - 'Calc - SA'!$E$14) - ('Calc - SA'!B$4 - 'Calc - SA'!B$14)*('Calc - SA'!$A$4 - 'Calc - SA'!$A$14) )</f>
        <v>#REF!</v>
      </c>
      <c r="C6" s="122" t="str">
        <f>(  ('Calc - SA'!$A$4*'Calc - SA'!C$14 - 'Calc - SA'!C$4*'Calc - SA'!$A$14)*( 'Calc - SA'!$A$4 - 'Calc - SA'!$A$14) - ('Calc - SA'!$A$4 - 'Calc - SA'!$A$14)*('Calc - SA'!$A$4*'Calc - SA'!$E$14 - 'Calc - SA'!$E$4*'Calc - SA'!$A$14)  )  /  ( ('Calc - SA'!$A$4 - 'Calc - SA'!$A$14)*('Calc - SA'!$E$4 - 'Calc - SA'!$E$14) - ('Calc - SA'!C$4 - 'Calc - SA'!C$14)*('Calc - SA'!$A$4 - 'Calc - SA'!$A$14) )</f>
        <v>#REF!</v>
      </c>
      <c r="D6" s="122" t="str">
        <f>(  ('Calc - SA'!$A$4*'Calc - SA'!D$14 - 'Calc - SA'!D$4*'Calc - SA'!$A$14)*( 'Calc - SA'!$A$4 - 'Calc - SA'!$A$14) - ('Calc - SA'!$A$4 - 'Calc - SA'!$A$14)*('Calc - SA'!$A$4*'Calc - SA'!$E$14 - 'Calc - SA'!$E$4*'Calc - SA'!$A$14)  )  /  ( ('Calc - SA'!$A$4 - 'Calc - SA'!$A$14)*('Calc - SA'!$E$4 - 'Calc - SA'!$E$14) - ('Calc - SA'!D$4 - 'Calc - SA'!D$14)*('Calc - SA'!$A$4 - 'Calc - SA'!$A$14) )</f>
        <v>#REF!</v>
      </c>
      <c r="E6" s="120"/>
      <c r="F6" s="121"/>
      <c r="G6" s="121"/>
      <c r="H6" s="121"/>
      <c r="I6" s="121"/>
      <c r="J6" s="121"/>
      <c r="K6" s="121"/>
      <c r="L6" s="121"/>
      <c r="M6" s="121"/>
      <c r="N6" s="121"/>
      <c r="O6" s="121"/>
      <c r="P6" s="121"/>
      <c r="Q6" s="121"/>
      <c r="R6" s="121"/>
      <c r="S6" s="121"/>
      <c r="T6" s="121"/>
      <c r="U6" s="121"/>
      <c r="V6" s="121"/>
      <c r="W6" s="121"/>
      <c r="X6" s="121"/>
      <c r="Y6" s="121"/>
      <c r="Z6" s="121"/>
    </row>
    <row r="7" ht="14.25" customHeight="1">
      <c r="A7" s="119" t="str">
        <f>'Raw Data'!A6</f>
        <v>Filter in bottom chamber, two chamber, screw in</v>
      </c>
      <c r="B7" s="122" t="str">
        <f>(  ('Calc - SA'!$A$4*'Calc - SA'!B$14 - 'Calc - SA'!B$4*'Calc - SA'!$A$14)*( 'Calc - SA'!$A$4 - 'Calc - SA'!$A$14) - ('Calc - SA'!$A$4 - 'Calc - SA'!$A$14)*('Calc - SA'!$A$4*'Calc - SA'!$F$14 - 'Calc - SA'!$F$4*'Calc - SA'!$A$14)  )  /  ( ('Calc - SA'!$A$4 - 'Calc - SA'!$A$14)*('Calc - SA'!$F$4 - 'Calc - SA'!$F$14) - ('Calc - SA'!B$4 - 'Calc - SA'!B$14)*('Calc - SA'!$A$4 - 'Calc - SA'!$A$14) )</f>
        <v>#REF!</v>
      </c>
      <c r="C7" s="122" t="str">
        <f>(  ('Calc - SA'!$A$4*'Calc - SA'!C$14 - 'Calc - SA'!C$4*'Calc - SA'!$A$14)*( 'Calc - SA'!$A$4 - 'Calc - SA'!$A$14) - ('Calc - SA'!$A$4 - 'Calc - SA'!$A$14)*('Calc - SA'!$A$4*'Calc - SA'!$F$14 - 'Calc - SA'!$F$4*'Calc - SA'!$A$14)  )  /  ( ('Calc - SA'!$A$4 - 'Calc - SA'!$A$14)*('Calc - SA'!$F$4 - 'Calc - SA'!$F$14) - ('Calc - SA'!C$4 - 'Calc - SA'!C$14)*('Calc - SA'!$A$4 - 'Calc - SA'!$A$14) )</f>
        <v>#REF!</v>
      </c>
      <c r="D7" s="122" t="str">
        <f>(  ('Calc - SA'!$A$4*'Calc - SA'!D$14 - 'Calc - SA'!D$4*'Calc - SA'!$A$14)*( 'Calc - SA'!$A$4 - 'Calc - SA'!$A$14) - ('Calc - SA'!$A$4 - 'Calc - SA'!$A$14)*('Calc - SA'!$A$4*'Calc - SA'!$F$14 - 'Calc - SA'!$F$4*'Calc - SA'!$A$14)  )  /  ( ('Calc - SA'!$A$4 - 'Calc - SA'!$A$14)*('Calc - SA'!$F$4 - 'Calc - SA'!$F$14) - ('Calc - SA'!D$4 - 'Calc - SA'!D$14)*('Calc - SA'!$A$4 - 'Calc - SA'!$A$14) )</f>
        <v>#REF!</v>
      </c>
      <c r="E7" s="122" t="str">
        <f>(  ('Calc - SA'!$A$4*'Calc - SA'!E$14 - 'Calc - SA'!E$4*'Calc - SA'!$A$14)*( 'Calc - SA'!$A$4 - 'Calc - SA'!$A$14) - ('Calc - SA'!$A$4 - 'Calc - SA'!$A$14)*('Calc - SA'!$A$4*'Calc - SA'!$F$14 - 'Calc - SA'!$F$4*'Calc - SA'!$A$14)  )  /  ( ('Calc - SA'!$A$4 - 'Calc - SA'!$A$14)*('Calc - SA'!$F$4 - 'Calc - SA'!$F$14) - ('Calc - SA'!E$4 - 'Calc - SA'!E$14)*('Calc - SA'!$A$4 - 'Calc - SA'!$A$14) )</f>
        <v>#REF!</v>
      </c>
      <c r="F7" s="121"/>
      <c r="G7" s="121"/>
      <c r="H7" s="121"/>
      <c r="I7" s="121"/>
      <c r="J7" s="121"/>
      <c r="K7" s="121"/>
      <c r="L7" s="121"/>
      <c r="M7" s="121"/>
      <c r="N7" s="121"/>
      <c r="O7" s="121"/>
      <c r="P7" s="121"/>
      <c r="Q7" s="121"/>
      <c r="R7" s="121"/>
      <c r="S7" s="121"/>
      <c r="T7" s="121"/>
      <c r="U7" s="121"/>
      <c r="V7" s="121"/>
      <c r="W7" s="121"/>
      <c r="X7" s="121"/>
      <c r="Y7" s="121"/>
      <c r="Z7" s="121"/>
    </row>
    <row r="8" ht="14.25" customHeight="1">
      <c r="A8" s="119" t="str">
        <f t="shared" ref="A8:A10" si="3">#REF!</f>
        <v>#REF!</v>
      </c>
      <c r="B8" s="122" t="str">
        <f>(  ('Calc - SA'!$A$4*'Calc - SA'!B$14 - 'Calc - SA'!B$4*'Calc - SA'!$A$14)*( 'Calc - SA'!$A$4 - 'Calc - SA'!$A$14) - ('Calc - SA'!$A$4 - 'Calc - SA'!$A$14)*('Calc - SA'!$A$4*'Calc - SA'!$G$14 - 'Calc - SA'!$G$4*'Calc - SA'!$A$14)  )  /  ( ('Calc - SA'!$A$4 - 'Calc - SA'!$A$14)*('Calc - SA'!$G$4 - 'Calc - SA'!$G$14) - ('Calc - SA'!B$4 - 'Calc - SA'!B$14)*('Calc - SA'!$A$4 - 'Calc - SA'!$A$14) )</f>
        <v>#REF!</v>
      </c>
      <c r="C8" s="122" t="str">
        <f>(  ('Calc - SA'!$A$4*'Calc - SA'!C$14 - 'Calc - SA'!C$4*'Calc - SA'!$A$14)*( 'Calc - SA'!$A$4 - 'Calc - SA'!$A$14) - ('Calc - SA'!$A$4 - 'Calc - SA'!$A$14)*('Calc - SA'!$A$4*'Calc - SA'!$G$14 - 'Calc - SA'!$G$4*'Calc - SA'!$A$14)  )  /  ( ('Calc - SA'!$A$4 - 'Calc - SA'!$A$14)*('Calc - SA'!$G$4 - 'Calc - SA'!$G$14) - ('Calc - SA'!C$4 - 'Calc - SA'!C$14)*('Calc - SA'!$A$4 - 'Calc - SA'!$A$14) )</f>
        <v>#REF!</v>
      </c>
      <c r="D8" s="122" t="str">
        <f>(  ('Calc - SA'!$A$4*'Calc - SA'!D$14 - 'Calc - SA'!D$4*'Calc - SA'!$A$14)*( 'Calc - SA'!$A$4 - 'Calc - SA'!$A$14) - ('Calc - SA'!$A$4 - 'Calc - SA'!$A$14)*('Calc - SA'!$A$4*'Calc - SA'!$G$14 - 'Calc - SA'!$G$4*'Calc - SA'!$A$14)  )  /  ( ('Calc - SA'!$A$4 - 'Calc - SA'!$A$14)*('Calc - SA'!$G$4 - 'Calc - SA'!$G$14) - ('Calc - SA'!D$4 - 'Calc - SA'!D$14)*('Calc - SA'!$A$4 - 'Calc - SA'!$A$14) )</f>
        <v>#REF!</v>
      </c>
      <c r="E8" s="122" t="str">
        <f>(  ('Calc - SA'!$A$4*'Calc - SA'!E$14 - 'Calc - SA'!E$4*'Calc - SA'!$A$14)*( 'Calc - SA'!$A$4 - 'Calc - SA'!$A$14) - ('Calc - SA'!$A$4 - 'Calc - SA'!$A$14)*('Calc - SA'!$A$4*'Calc - SA'!$G$14 - 'Calc - SA'!$G$4*'Calc - SA'!$A$14)  )  /  ( ('Calc - SA'!$A$4 - 'Calc - SA'!$A$14)*('Calc - SA'!$G$4 - 'Calc - SA'!$G$14) - ('Calc - SA'!E$4 - 'Calc - SA'!E$14)*('Calc - SA'!$A$4 - 'Calc - SA'!$A$14) )</f>
        <v>#REF!</v>
      </c>
      <c r="F8" s="122" t="str">
        <f>(  ('Calc - SA'!$A$4*'Calc - SA'!F$14 - 'Calc - SA'!F$4*'Calc - SA'!$A$14)*( 'Calc - SA'!$A$4 - 'Calc - SA'!$A$14) - ('Calc - SA'!$A$4 - 'Calc - SA'!$A$14)*('Calc - SA'!$A$4*'Calc - SA'!$G$14 - 'Calc - SA'!$G$4*'Calc - SA'!$A$14)  )  /  ( ('Calc - SA'!$A$4 - 'Calc - SA'!$A$14)*('Calc - SA'!$G$4 - 'Calc - SA'!$G$14) - ('Calc - SA'!F$4 - 'Calc - SA'!F$14)*('Calc - SA'!$A$4 - 'Calc - SA'!$A$14) )</f>
        <v>#REF!</v>
      </c>
      <c r="G8" s="121"/>
      <c r="H8" s="121"/>
      <c r="I8" s="121"/>
      <c r="J8" s="121"/>
      <c r="K8" s="121"/>
      <c r="L8" s="121"/>
      <c r="M8" s="121"/>
      <c r="N8" s="121"/>
      <c r="O8" s="121"/>
      <c r="P8" s="121"/>
      <c r="Q8" s="121"/>
      <c r="R8" s="121"/>
      <c r="S8" s="121"/>
      <c r="T8" s="121"/>
      <c r="U8" s="121"/>
      <c r="V8" s="121"/>
      <c r="W8" s="121"/>
      <c r="X8" s="121"/>
      <c r="Y8" s="121"/>
      <c r="Z8" s="121"/>
    </row>
    <row r="9" ht="14.25" customHeight="1">
      <c r="A9" s="119" t="str">
        <f t="shared" si="3"/>
        <v>#REF!</v>
      </c>
      <c r="B9" s="122" t="str">
        <f>(  ('Calc - SA'!$A$4*'Calc - SA'!B$14 - 'Calc - SA'!B$4*'Calc - SA'!$A$14)*( 'Calc - SA'!$A$4 - 'Calc - SA'!$A$14) - ('Calc - SA'!$A$4 - 'Calc - SA'!$A$14)*('Calc - SA'!$A$4*'Calc - SA'!$H$14 - 'Calc - SA'!$H$4*'Calc - SA'!$A$14)  )  /  ( ('Calc - SA'!$A$4 - 'Calc - SA'!$A$14)*('Calc - SA'!$H$4 - 'Calc - SA'!$H$14) - ('Calc - SA'!B$4 - 'Calc - SA'!B$14)*('Calc - SA'!$A$4 - 'Calc - SA'!$A$14) )</f>
        <v>#REF!</v>
      </c>
      <c r="C9" s="122" t="str">
        <f>(  ('Calc - SA'!$A$4*'Calc - SA'!C$14 - 'Calc - SA'!C$4*'Calc - SA'!$A$14)*( 'Calc - SA'!$A$4 - 'Calc - SA'!$A$14) - ('Calc - SA'!$A$4 - 'Calc - SA'!$A$14)*('Calc - SA'!$A$4*'Calc - SA'!$H$14 - 'Calc - SA'!$H$4*'Calc - SA'!$A$14)  )  /  ( ('Calc - SA'!$A$4 - 'Calc - SA'!$A$14)*('Calc - SA'!$H$4 - 'Calc - SA'!$H$14) - ('Calc - SA'!C$4 - 'Calc - SA'!C$14)*('Calc - SA'!$A$4 - 'Calc - SA'!$A$14) )</f>
        <v>#REF!</v>
      </c>
      <c r="D9" s="122" t="str">
        <f>(  ('Calc - SA'!$A$4*'Calc - SA'!D$14 - 'Calc - SA'!D$4*'Calc - SA'!$A$14)*( 'Calc - SA'!$A$4 - 'Calc - SA'!$A$14) - ('Calc - SA'!$A$4 - 'Calc - SA'!$A$14)*('Calc - SA'!$A$4*'Calc - SA'!$H$14 - 'Calc - SA'!$H$4*'Calc - SA'!$A$14)  )  /  ( ('Calc - SA'!$A$4 - 'Calc - SA'!$A$14)*('Calc - SA'!$H$4 - 'Calc - SA'!$H$14) - ('Calc - SA'!D$4 - 'Calc - SA'!D$14)*('Calc - SA'!$A$4 - 'Calc - SA'!$A$14) )</f>
        <v>#REF!</v>
      </c>
      <c r="E9" s="122" t="str">
        <f>(  ('Calc - SA'!$A$4*'Calc - SA'!E$14 - 'Calc - SA'!E$4*'Calc - SA'!$A$14)*( 'Calc - SA'!$A$4 - 'Calc - SA'!$A$14) - ('Calc - SA'!$A$4 - 'Calc - SA'!$A$14)*('Calc - SA'!$A$4*'Calc - SA'!$H$14 - 'Calc - SA'!$H$4*'Calc - SA'!$A$14)  )  /  ( ('Calc - SA'!$A$4 - 'Calc - SA'!$A$14)*('Calc - SA'!$H$4 - 'Calc - SA'!$H$14) - ('Calc - SA'!E$4 - 'Calc - SA'!E$14)*('Calc - SA'!$A$4 - 'Calc - SA'!$A$14) )</f>
        <v>#REF!</v>
      </c>
      <c r="F9" s="122" t="str">
        <f>(  ('Calc - SA'!$A$4*'Calc - SA'!F$14 - 'Calc - SA'!F$4*'Calc - SA'!$A$14)*( 'Calc - SA'!$A$4 - 'Calc - SA'!$A$14) - ('Calc - SA'!$A$4 - 'Calc - SA'!$A$14)*('Calc - SA'!$A$4*'Calc - SA'!$H$14 - 'Calc - SA'!$H$4*'Calc - SA'!$A$14)  )  /  ( ('Calc - SA'!$A$4 - 'Calc - SA'!$A$14)*('Calc - SA'!$H$4 - 'Calc - SA'!$H$14) - ('Calc - SA'!F$4 - 'Calc - SA'!F$14)*('Calc - SA'!$A$4 - 'Calc - SA'!$A$14) )</f>
        <v>#REF!</v>
      </c>
      <c r="G9" s="122" t="str">
        <f>(  ('Calc - SA'!$A$4*'Calc - SA'!G$14 - 'Calc - SA'!G$4*'Calc - SA'!$A$14)*( 'Calc - SA'!$A$4 - 'Calc - SA'!$A$14) - ('Calc - SA'!$A$4 - 'Calc - SA'!$A$14)*('Calc - SA'!$A$4*'Calc - SA'!$H$14 - 'Calc - SA'!$H$4*'Calc - SA'!$A$14)  )  /  ( ('Calc - SA'!$A$4 - 'Calc - SA'!$A$14)*('Calc - SA'!$H$4 - 'Calc - SA'!$H$14) - ('Calc - SA'!G$4 - 'Calc - SA'!G$14)*('Calc - SA'!$A$4 - 'Calc - SA'!$A$14) )</f>
        <v>#REF!</v>
      </c>
      <c r="H9" s="121"/>
      <c r="I9" s="121"/>
      <c r="J9" s="121"/>
      <c r="K9" s="121"/>
      <c r="L9" s="121"/>
      <c r="M9" s="121"/>
      <c r="N9" s="121"/>
      <c r="O9" s="121"/>
      <c r="P9" s="121"/>
      <c r="Q9" s="121"/>
      <c r="R9" s="121"/>
      <c r="S9" s="121"/>
      <c r="T9" s="121"/>
      <c r="U9" s="121"/>
      <c r="V9" s="121"/>
      <c r="W9" s="121"/>
      <c r="X9" s="121"/>
      <c r="Y9" s="121"/>
      <c r="Z9" s="121"/>
    </row>
    <row r="10" ht="14.25" customHeight="1">
      <c r="A10" s="119" t="str">
        <f t="shared" si="3"/>
        <v>#REF!</v>
      </c>
      <c r="B10" s="122" t="str">
        <f>(  ('Calc - SA'!$A$4*'Calc - SA'!B$14 - 'Calc - SA'!B$4*'Calc - SA'!$A$14)*( 'Calc - SA'!$A$4 - 'Calc - SA'!$A$14) - ('Calc - SA'!$A$4 - 'Calc - SA'!$A$14)*('Calc - SA'!$A$4*'Calc - SA'!$I$14 - 'Calc - SA'!$I$4*'Calc - SA'!$A$14)  )  /  ( ('Calc - SA'!$A$4 - 'Calc - SA'!$A$14)*('Calc - SA'!$I$4 - 'Calc - SA'!$I$14) - ('Calc - SA'!B$4 - 'Calc - SA'!B$14)*('Calc - SA'!$A$4 - 'Calc - SA'!$A$14) )</f>
        <v>#REF!</v>
      </c>
      <c r="C10" s="122" t="str">
        <f>(  ('Calc - SA'!$A$4*'Calc - SA'!C$14 - 'Calc - SA'!C$4*'Calc - SA'!$A$14)*( 'Calc - SA'!$A$4 - 'Calc - SA'!$A$14) - ('Calc - SA'!$A$4 - 'Calc - SA'!$A$14)*('Calc - SA'!$A$4*'Calc - SA'!$I$14 - 'Calc - SA'!$I$4*'Calc - SA'!$A$14)  )  /  ( ('Calc - SA'!$A$4 - 'Calc - SA'!$A$14)*('Calc - SA'!$I$4 - 'Calc - SA'!$I$14) - ('Calc - SA'!C$4 - 'Calc - SA'!C$14)*('Calc - SA'!$A$4 - 'Calc - SA'!$A$14) )</f>
        <v>#REF!</v>
      </c>
      <c r="D10" s="122" t="str">
        <f>(  ('Calc - SA'!$A$4*'Calc - SA'!D$14 - 'Calc - SA'!D$4*'Calc - SA'!$A$14)*( 'Calc - SA'!$A$4 - 'Calc - SA'!$A$14) - ('Calc - SA'!$A$4 - 'Calc - SA'!$A$14)*('Calc - SA'!$A$4*'Calc - SA'!$I$14 - 'Calc - SA'!$I$4*'Calc - SA'!$A$14)  )  /  ( ('Calc - SA'!$A$4 - 'Calc - SA'!$A$14)*('Calc - SA'!$I$4 - 'Calc - SA'!$I$14) - ('Calc - SA'!D$4 - 'Calc - SA'!D$14)*('Calc - SA'!$A$4 - 'Calc - SA'!$A$14) )</f>
        <v>#REF!</v>
      </c>
      <c r="E10" s="122" t="str">
        <f>(  ('Calc - SA'!$A$4*'Calc - SA'!E$14 - 'Calc - SA'!E$4*'Calc - SA'!$A$14)*( 'Calc - SA'!$A$4 - 'Calc - SA'!$A$14) - ('Calc - SA'!$A$4 - 'Calc - SA'!$A$14)*('Calc - SA'!$A$4*'Calc - SA'!$I$14 - 'Calc - SA'!$I$4*'Calc - SA'!$A$14)  )  /  ( ('Calc - SA'!$A$4 - 'Calc - SA'!$A$14)*('Calc - SA'!$I$4 - 'Calc - SA'!$I$14) - ('Calc - SA'!E$4 - 'Calc - SA'!E$14)*('Calc - SA'!$A$4 - 'Calc - SA'!$A$14) )</f>
        <v>#REF!</v>
      </c>
      <c r="F10" s="122" t="str">
        <f>(  ('Calc - SA'!$A$4*'Calc - SA'!F$14 - 'Calc - SA'!F$4*'Calc - SA'!$A$14)*( 'Calc - SA'!$A$4 - 'Calc - SA'!$A$14) - ('Calc - SA'!$A$4 - 'Calc - SA'!$A$14)*('Calc - SA'!$A$4*'Calc - SA'!$I$14 - 'Calc - SA'!$I$4*'Calc - SA'!$A$14)  )  /  ( ('Calc - SA'!$A$4 - 'Calc - SA'!$A$14)*('Calc - SA'!$I$4 - 'Calc - SA'!$I$14) - ('Calc - SA'!F$4 - 'Calc - SA'!F$14)*('Calc - SA'!$A$4 - 'Calc - SA'!$A$14) )</f>
        <v>#REF!</v>
      </c>
      <c r="G10" s="122" t="str">
        <f>(  ('Calc - SA'!$A$4*'Calc - SA'!G$14 - 'Calc - SA'!G$4*'Calc - SA'!$A$14)*( 'Calc - SA'!$A$4 - 'Calc - SA'!$A$14) - ('Calc - SA'!$A$4 - 'Calc - SA'!$A$14)*('Calc - SA'!$A$4*'Calc - SA'!$I$14 - 'Calc - SA'!$I$4*'Calc - SA'!$A$14)  )  /  ( ('Calc - SA'!$A$4 - 'Calc - SA'!$A$14)*('Calc - SA'!$I$4 - 'Calc - SA'!$I$14) - ('Calc - SA'!G$4 - 'Calc - SA'!G$14)*('Calc - SA'!$A$4 - 'Calc - SA'!$A$14) )</f>
        <v>#REF!</v>
      </c>
      <c r="H10" s="122" t="str">
        <f>(  ('Calc - SA'!$A$4*'Calc - SA'!H$14 - 'Calc - SA'!H$4*'Calc - SA'!$A$14)*( 'Calc - SA'!$A$4 - 'Calc - SA'!$A$14) - ('Calc - SA'!$A$4 - 'Calc - SA'!$A$14)*('Calc - SA'!$A$4*'Calc - SA'!$I$14 - 'Calc - SA'!$I$4*'Calc - SA'!$A$14)  )  /  ( ('Calc - SA'!$A$4 - 'Calc - SA'!$A$14)*('Calc - SA'!$I$4 - 'Calc - SA'!$I$14) - ('Calc - SA'!H$4 - 'Calc - SA'!H$14)*('Calc - SA'!$A$4 - 'Calc - SA'!$A$14) )</f>
        <v>#REF!</v>
      </c>
      <c r="I10" s="121"/>
      <c r="J10" s="121"/>
      <c r="K10" s="121"/>
      <c r="L10" s="121"/>
      <c r="M10" s="121"/>
      <c r="N10" s="121"/>
      <c r="O10" s="121"/>
      <c r="P10" s="121"/>
      <c r="Q10" s="121"/>
      <c r="R10" s="121"/>
      <c r="S10" s="121"/>
      <c r="T10" s="121"/>
      <c r="U10" s="121"/>
      <c r="V10" s="121"/>
      <c r="W10" s="121"/>
      <c r="X10" s="121"/>
      <c r="Y10" s="121"/>
      <c r="Z10" s="121"/>
    </row>
    <row r="11" ht="14.25" customHeight="1">
      <c r="A11" s="119" t="str">
        <f>'Raw Data'!A7</f>
        <v>Single Chamber flat filter</v>
      </c>
      <c r="B11" s="122" t="str">
        <f>(  ('Calc - SA'!$A$4*'Calc - SA'!B$14 - 'Calc - SA'!B$4*'Calc - SA'!$A$14)*( 'Calc - SA'!$A$4 - 'Calc - SA'!$A$14) - ('Calc - SA'!$A$4 - 'Calc - SA'!$A$14)*('Calc - SA'!$A$4*'Calc - SA'!$J$14 - 'Calc - SA'!$J$4*'Calc - SA'!$A$14)  )  /  ( ('Calc - SA'!$A$4 - 'Calc - SA'!$A$14)*('Calc - SA'!$J$4 - 'Calc - SA'!$J$14) - ('Calc - SA'!B$4 - 'Calc - SA'!B$14)*('Calc - SA'!$A$4 - 'Calc - SA'!$A$14) )</f>
        <v>#REF!</v>
      </c>
      <c r="C11" s="122" t="str">
        <f>(  ('Calc - SA'!$A$4*'Calc - SA'!C$14 - 'Calc - SA'!C$4*'Calc - SA'!$A$14)*( 'Calc - SA'!$A$4 - 'Calc - SA'!$A$14) - ('Calc - SA'!$A$4 - 'Calc - SA'!$A$14)*('Calc - SA'!$A$4*'Calc - SA'!$J$14 - 'Calc - SA'!$J$4*'Calc - SA'!$A$14)  )  /  ( ('Calc - SA'!$A$4 - 'Calc - SA'!$A$14)*('Calc - SA'!$J$4 - 'Calc - SA'!$J$14) - ('Calc - SA'!C$4 - 'Calc - SA'!C$14)*('Calc - SA'!$A$4 - 'Calc - SA'!$A$14) )</f>
        <v>#REF!</v>
      </c>
      <c r="D11" s="122" t="str">
        <f>(  ('Calc - SA'!$A$4*'Calc - SA'!D$14 - 'Calc - SA'!D$4*'Calc - SA'!$A$14)*( 'Calc - SA'!$A$4 - 'Calc - SA'!$A$14) - ('Calc - SA'!$A$4 - 'Calc - SA'!$A$14)*('Calc - SA'!$A$4*'Calc - SA'!$J$14 - 'Calc - SA'!$J$4*'Calc - SA'!$A$14)  )  /  ( ('Calc - SA'!$A$4 - 'Calc - SA'!$A$14)*('Calc - SA'!$J$4 - 'Calc - SA'!$J$14) - ('Calc - SA'!D$4 - 'Calc - SA'!D$14)*('Calc - SA'!$A$4 - 'Calc - SA'!$A$14) )</f>
        <v>#REF!</v>
      </c>
      <c r="E11" s="122" t="str">
        <f>(  ('Calc - SA'!$A$4*'Calc - SA'!E$14 - 'Calc - SA'!E$4*'Calc - SA'!$A$14)*( 'Calc - SA'!$A$4 - 'Calc - SA'!$A$14) - ('Calc - SA'!$A$4 - 'Calc - SA'!$A$14)*('Calc - SA'!$A$4*'Calc - SA'!$J$14 - 'Calc - SA'!$J$4*'Calc - SA'!$A$14)  )  /  ( ('Calc - SA'!$A$4 - 'Calc - SA'!$A$14)*('Calc - SA'!$J$4 - 'Calc - SA'!$J$14) - ('Calc - SA'!E$4 - 'Calc - SA'!E$14)*('Calc - SA'!$A$4 - 'Calc - SA'!$A$14) )</f>
        <v>#REF!</v>
      </c>
      <c r="F11" s="122" t="str">
        <f>(  ('Calc - SA'!$A$4*'Calc - SA'!F$14 - 'Calc - SA'!F$4*'Calc - SA'!$A$14)*( 'Calc - SA'!$A$4 - 'Calc - SA'!$A$14) - ('Calc - SA'!$A$4 - 'Calc - SA'!$A$14)*('Calc - SA'!$A$4*'Calc - SA'!$J$14 - 'Calc - SA'!$J$4*'Calc - SA'!$A$14)  )  /  ( ('Calc - SA'!$A$4 - 'Calc - SA'!$A$14)*('Calc - SA'!$J$4 - 'Calc - SA'!$J$14) - ('Calc - SA'!F$4 - 'Calc - SA'!F$14)*('Calc - SA'!$A$4 - 'Calc - SA'!$A$14) )</f>
        <v>#REF!</v>
      </c>
      <c r="G11" s="122" t="str">
        <f>(  ('Calc - SA'!$A$4*'Calc - SA'!G$14 - 'Calc - SA'!G$4*'Calc - SA'!$A$14)*( 'Calc - SA'!$A$4 - 'Calc - SA'!$A$14) - ('Calc - SA'!$A$4 - 'Calc - SA'!$A$14)*('Calc - SA'!$A$4*'Calc - SA'!$J$14 - 'Calc - SA'!$J$4*'Calc - SA'!$A$14)  )  /  ( ('Calc - SA'!$A$4 - 'Calc - SA'!$A$14)*('Calc - SA'!$J$4 - 'Calc - SA'!$J$14) - ('Calc - SA'!G$4 - 'Calc - SA'!G$14)*('Calc - SA'!$A$4 - 'Calc - SA'!$A$14) )</f>
        <v>#REF!</v>
      </c>
      <c r="H11" s="122" t="str">
        <f>(  ('Calc - SA'!$A$4*'Calc - SA'!H$14 - 'Calc - SA'!H$4*'Calc - SA'!$A$14)*( 'Calc - SA'!$A$4 - 'Calc - SA'!$A$14) - ('Calc - SA'!$A$4 - 'Calc - SA'!$A$14)*('Calc - SA'!$A$4*'Calc - SA'!$J$14 - 'Calc - SA'!$J$4*'Calc - SA'!$A$14)  )  /  ( ('Calc - SA'!$A$4 - 'Calc - SA'!$A$14)*('Calc - SA'!$J$4 - 'Calc - SA'!$J$14) - ('Calc - SA'!H$4 - 'Calc - SA'!H$14)*('Calc - SA'!$A$4 - 'Calc - SA'!$A$14) )</f>
        <v>#REF!</v>
      </c>
      <c r="I11" s="122" t="str">
        <f>(  ('Calc - SA'!$A$4*'Calc - SA'!I$14 - 'Calc - SA'!I$4*'Calc - SA'!$A$14)*( 'Calc - SA'!$A$4 - 'Calc - SA'!$A$14) - ('Calc - SA'!$A$4 - 'Calc - SA'!$A$14)*('Calc - SA'!$A$4*'Calc - SA'!$J$14 - 'Calc - SA'!$J$4*'Calc - SA'!$A$14)  )  /  ( ('Calc - SA'!$A$4 - 'Calc - SA'!$A$14)*('Calc - SA'!$J$4 - 'Calc - SA'!$J$14) - ('Calc - SA'!I$4 - 'Calc - SA'!I$14)*('Calc - SA'!$A$4 - 'Calc - SA'!$A$14) )</f>
        <v>#REF!</v>
      </c>
      <c r="J11" s="121"/>
      <c r="K11" s="121"/>
      <c r="L11" s="121"/>
      <c r="M11" s="121"/>
      <c r="N11" s="121"/>
      <c r="O11" s="121"/>
      <c r="P11" s="121"/>
      <c r="Q11" s="121"/>
      <c r="R11" s="121"/>
      <c r="S11" s="121"/>
      <c r="T11" s="121"/>
      <c r="U11" s="121"/>
      <c r="V11" s="121"/>
      <c r="W11" s="121"/>
      <c r="X11" s="121"/>
      <c r="Y11" s="121"/>
      <c r="Z11" s="121"/>
    </row>
    <row r="12" ht="14.25" customHeight="1">
      <c r="A12" s="119" t="str">
        <f>'Raw Data'!A8</f>
        <v>Single chamber, cone filter</v>
      </c>
      <c r="B12" s="122" t="str">
        <f>(  ('Calc - SA'!$A$4*'Calc - SA'!B$14 - 'Calc - SA'!B$4*'Calc - SA'!$A$14)*( 'Calc - SA'!$A$4 - 'Calc - SA'!$A$14) - ('Calc - SA'!$A$4 - 'Calc - SA'!$A$14)*('Calc - SA'!$A$4*'Calc - SA'!$K$14 - 'Calc - SA'!$K$4*'Calc - SA'!$A$14)  )  /  ( ('Calc - SA'!$A$4 - 'Calc - SA'!$A$14)*('Calc - SA'!$K$4 - 'Calc - SA'!$K$14) - ('Calc - SA'!B$4 - 'Calc - SA'!B$14)*('Calc - SA'!$A$4 - 'Calc - SA'!$A$14) )</f>
        <v>#REF!</v>
      </c>
      <c r="C12" s="122" t="str">
        <f>(  ('Calc - SA'!$A$4*'Calc - SA'!C$14 - 'Calc - SA'!C$4*'Calc - SA'!$A$14)*( 'Calc - SA'!$A$4 - 'Calc - SA'!$A$14) - ('Calc - SA'!$A$4 - 'Calc - SA'!$A$14)*('Calc - SA'!$A$4*'Calc - SA'!$K$14 - 'Calc - SA'!$K$4*'Calc - SA'!$A$14)  )  /  ( ('Calc - SA'!$A$4 - 'Calc - SA'!$A$14)*('Calc - SA'!$K$4 - 'Calc - SA'!$K$14) - ('Calc - SA'!C$4 - 'Calc - SA'!C$14)*('Calc - SA'!$A$4 - 'Calc - SA'!$A$14) )</f>
        <v>#REF!</v>
      </c>
      <c r="D12" s="122" t="str">
        <f>(  ('Calc - SA'!$A$4*'Calc - SA'!D$14 - 'Calc - SA'!D$4*'Calc - SA'!$A$14)*( 'Calc - SA'!$A$4 - 'Calc - SA'!$A$14) - ('Calc - SA'!$A$4 - 'Calc - SA'!$A$14)*('Calc - SA'!$A$4*'Calc - SA'!$K$14 - 'Calc - SA'!$K$4*'Calc - SA'!$A$14)  )  /  ( ('Calc - SA'!$A$4 - 'Calc - SA'!$A$14)*('Calc - SA'!$K$4 - 'Calc - SA'!$K$14) - ('Calc - SA'!D$4 - 'Calc - SA'!D$14)*('Calc - SA'!$A$4 - 'Calc - SA'!$A$14) )</f>
        <v>#REF!</v>
      </c>
      <c r="E12" s="122" t="str">
        <f>(  ('Calc - SA'!$A$4*'Calc - SA'!E$14 - 'Calc - SA'!E$4*'Calc - SA'!$A$14)*( 'Calc - SA'!$A$4 - 'Calc - SA'!$A$14) - ('Calc - SA'!$A$4 - 'Calc - SA'!$A$14)*('Calc - SA'!$A$4*'Calc - SA'!$K$14 - 'Calc - SA'!$K$4*'Calc - SA'!$A$14)  )  /  ( ('Calc - SA'!$A$4 - 'Calc - SA'!$A$14)*('Calc - SA'!$K$4 - 'Calc - SA'!$K$14) - ('Calc - SA'!E$4 - 'Calc - SA'!E$14)*('Calc - SA'!$A$4 - 'Calc - SA'!$A$14) )</f>
        <v>#REF!</v>
      </c>
      <c r="F12" s="122" t="str">
        <f>(  ('Calc - SA'!$A$4*'Calc - SA'!F$14 - 'Calc - SA'!F$4*'Calc - SA'!$A$14)*( 'Calc - SA'!$A$4 - 'Calc - SA'!$A$14) - ('Calc - SA'!$A$4 - 'Calc - SA'!$A$14)*('Calc - SA'!$A$4*'Calc - SA'!$K$14 - 'Calc - SA'!$K$4*'Calc - SA'!$A$14)  )  /  ( ('Calc - SA'!$A$4 - 'Calc - SA'!$A$14)*('Calc - SA'!$K$4 - 'Calc - SA'!$K$14) - ('Calc - SA'!F$4 - 'Calc - SA'!F$14)*('Calc - SA'!$A$4 - 'Calc - SA'!$A$14) )</f>
        <v>#REF!</v>
      </c>
      <c r="G12" s="122" t="str">
        <f>(  ('Calc - SA'!$A$4*'Calc - SA'!G$14 - 'Calc - SA'!G$4*'Calc - SA'!$A$14)*( 'Calc - SA'!$A$4 - 'Calc - SA'!$A$14) - ('Calc - SA'!$A$4 - 'Calc - SA'!$A$14)*('Calc - SA'!$A$4*'Calc - SA'!$K$14 - 'Calc - SA'!$K$4*'Calc - SA'!$A$14)  )  /  ( ('Calc - SA'!$A$4 - 'Calc - SA'!$A$14)*('Calc - SA'!$K$4 - 'Calc - SA'!$K$14) - ('Calc - SA'!G$4 - 'Calc - SA'!G$14)*('Calc - SA'!$A$4 - 'Calc - SA'!$A$14) )</f>
        <v>#REF!</v>
      </c>
      <c r="H12" s="122" t="str">
        <f>(  ('Calc - SA'!$A$4*'Calc - SA'!H$14 - 'Calc - SA'!H$4*'Calc - SA'!$A$14)*( 'Calc - SA'!$A$4 - 'Calc - SA'!$A$14) - ('Calc - SA'!$A$4 - 'Calc - SA'!$A$14)*('Calc - SA'!$A$4*'Calc - SA'!$K$14 - 'Calc - SA'!$K$4*'Calc - SA'!$A$14)  )  /  ( ('Calc - SA'!$A$4 - 'Calc - SA'!$A$14)*('Calc - SA'!$K$4 - 'Calc - SA'!$K$14) - ('Calc - SA'!H$4 - 'Calc - SA'!H$14)*('Calc - SA'!$A$4 - 'Calc - SA'!$A$14) )</f>
        <v>#REF!</v>
      </c>
      <c r="I12" s="122" t="str">
        <f>(  ('Calc - SA'!$A$4*'Calc - SA'!I$14 - 'Calc - SA'!I$4*'Calc - SA'!$A$14)*( 'Calc - SA'!$A$4 - 'Calc - SA'!$A$14) - ('Calc - SA'!$A$4 - 'Calc - SA'!$A$14)*('Calc - SA'!$A$4*'Calc - SA'!$K$14 - 'Calc - SA'!$K$4*'Calc - SA'!$A$14)  )  /  ( ('Calc - SA'!$A$4 - 'Calc - SA'!$A$14)*('Calc - SA'!$K$4 - 'Calc - SA'!$K$14) - ('Calc - SA'!I$4 - 'Calc - SA'!I$14)*('Calc - SA'!$A$4 - 'Calc - SA'!$A$14) )</f>
        <v>#REF!</v>
      </c>
      <c r="J12" s="122" t="str">
        <f>(  ('Calc - SA'!$A$4*'Calc - SA'!J$14 - 'Calc - SA'!J$4*'Calc - SA'!$A$14)*( 'Calc - SA'!$A$4 - 'Calc - SA'!$A$14) - ('Calc - SA'!$A$4 - 'Calc - SA'!$A$14)*('Calc - SA'!$A$4*'Calc - SA'!$K$14 - 'Calc - SA'!$K$4*'Calc - SA'!$A$14)  )  /  ( ('Calc - SA'!$A$4 - 'Calc - SA'!$A$14)*('Calc - SA'!$K$4 - 'Calc - SA'!$K$14) - ('Calc - SA'!J$4 - 'Calc - SA'!J$14)*('Calc - SA'!$A$4 - 'Calc - SA'!$A$14) )</f>
        <v>#REF!</v>
      </c>
      <c r="K12" s="121"/>
      <c r="L12" s="121"/>
      <c r="M12" s="121"/>
      <c r="N12" s="121"/>
      <c r="O12" s="121"/>
      <c r="P12" s="121"/>
      <c r="Q12" s="121"/>
      <c r="R12" s="121"/>
      <c r="S12" s="121"/>
      <c r="T12" s="121"/>
      <c r="U12" s="121"/>
      <c r="V12" s="121"/>
      <c r="W12" s="121"/>
      <c r="X12" s="121"/>
      <c r="Y12" s="121"/>
      <c r="Z12" s="121"/>
    </row>
    <row r="13" ht="14.25" customHeight="1">
      <c r="A13" s="119" t="str">
        <f>#REF!</f>
        <v>#REF!</v>
      </c>
      <c r="B13" s="122" t="str">
        <f>(  ('Calc - SA'!$A$4*'Calc - SA'!B$14 - 'Calc - SA'!B$4*'Calc - SA'!$A$14)*( 'Calc - SA'!$A$4 - 'Calc - SA'!$A$14) - ('Calc - SA'!$A$4 - 'Calc - SA'!$A$14)*('Calc - SA'!$A$4*'Calc - SA'!$L$14 - 'Calc - SA'!$L$4*'Calc - SA'!$A$14)  )  /  ( ('Calc - SA'!$A$4 - 'Calc - SA'!$A$14)*('Calc - SA'!$L$4 - 'Calc - SA'!$L$14) - ('Calc - SA'!B$4 - 'Calc - SA'!B$14)*('Calc - SA'!$A$4 - 'Calc - SA'!$A$14) )</f>
        <v>#REF!</v>
      </c>
      <c r="C13" s="122" t="str">
        <f>(  ('Calc - SA'!$A$4*'Calc - SA'!C$14 - 'Calc - SA'!C$4*'Calc - SA'!$A$14)*( 'Calc - SA'!$A$4 - 'Calc - SA'!$A$14) - ('Calc - SA'!$A$4 - 'Calc - SA'!$A$14)*('Calc - SA'!$A$4*'Calc - SA'!$L$14 - 'Calc - SA'!$L$4*'Calc - SA'!$A$14)  )  /  ( ('Calc - SA'!$A$4 - 'Calc - SA'!$A$14)*('Calc - SA'!$L$4 - 'Calc - SA'!$L$14) - ('Calc - SA'!C$4 - 'Calc - SA'!C$14)*('Calc - SA'!$A$4 - 'Calc - SA'!$A$14) )</f>
        <v>#REF!</v>
      </c>
      <c r="D13" s="122" t="str">
        <f>(  ('Calc - SA'!$A$4*'Calc - SA'!D$14 - 'Calc - SA'!D$4*'Calc - SA'!$A$14)*( 'Calc - SA'!$A$4 - 'Calc - SA'!$A$14) - ('Calc - SA'!$A$4 - 'Calc - SA'!$A$14)*('Calc - SA'!$A$4*'Calc - SA'!$L$14 - 'Calc - SA'!$L$4*'Calc - SA'!$A$14)  )  /  ( ('Calc - SA'!$A$4 - 'Calc - SA'!$A$14)*('Calc - SA'!$L$4 - 'Calc - SA'!$L$14) - ('Calc - SA'!D$4 - 'Calc - SA'!D$14)*('Calc - SA'!$A$4 - 'Calc - SA'!$A$14) )</f>
        <v>#REF!</v>
      </c>
      <c r="E13" s="122" t="str">
        <f>(  ('Calc - SA'!$A$4*'Calc - SA'!E$14 - 'Calc - SA'!E$4*'Calc - SA'!$A$14)*( 'Calc - SA'!$A$4 - 'Calc - SA'!$A$14) - ('Calc - SA'!$A$4 - 'Calc - SA'!$A$14)*('Calc - SA'!$A$4*'Calc - SA'!$L$14 - 'Calc - SA'!$L$4*'Calc - SA'!$A$14)  )  /  ( ('Calc - SA'!$A$4 - 'Calc - SA'!$A$14)*('Calc - SA'!$L$4 - 'Calc - SA'!$L$14) - ('Calc - SA'!E$4 - 'Calc - SA'!E$14)*('Calc - SA'!$A$4 - 'Calc - SA'!$A$14) )</f>
        <v>#REF!</v>
      </c>
      <c r="F13" s="122" t="str">
        <f>(  ('Calc - SA'!$A$4*'Calc - SA'!F$14 - 'Calc - SA'!F$4*'Calc - SA'!$A$14)*( 'Calc - SA'!$A$4 - 'Calc - SA'!$A$14) - ('Calc - SA'!$A$4 - 'Calc - SA'!$A$14)*('Calc - SA'!$A$4*'Calc - SA'!$L$14 - 'Calc - SA'!$L$4*'Calc - SA'!$A$14)  )  /  ( ('Calc - SA'!$A$4 - 'Calc - SA'!$A$14)*('Calc - SA'!$L$4 - 'Calc - SA'!$L$14) - ('Calc - SA'!F$4 - 'Calc - SA'!F$14)*('Calc - SA'!$A$4 - 'Calc - SA'!$A$14) )</f>
        <v>#REF!</v>
      </c>
      <c r="G13" s="122" t="str">
        <f>(  ('Calc - SA'!$A$4*'Calc - SA'!G$14 - 'Calc - SA'!G$4*'Calc - SA'!$A$14)*( 'Calc - SA'!$A$4 - 'Calc - SA'!$A$14) - ('Calc - SA'!$A$4 - 'Calc - SA'!$A$14)*('Calc - SA'!$A$4*'Calc - SA'!$L$14 - 'Calc - SA'!$L$4*'Calc - SA'!$A$14)  )  /  ( ('Calc - SA'!$A$4 - 'Calc - SA'!$A$14)*('Calc - SA'!$L$4 - 'Calc - SA'!$L$14) - ('Calc - SA'!G$4 - 'Calc - SA'!G$14)*('Calc - SA'!$A$4 - 'Calc - SA'!$A$14) )</f>
        <v>#REF!</v>
      </c>
      <c r="H13" s="122" t="str">
        <f>(  ('Calc - SA'!$A$4*'Calc - SA'!H$14 - 'Calc - SA'!H$4*'Calc - SA'!$A$14)*( 'Calc - SA'!$A$4 - 'Calc - SA'!$A$14) - ('Calc - SA'!$A$4 - 'Calc - SA'!$A$14)*('Calc - SA'!$A$4*'Calc - SA'!$L$14 - 'Calc - SA'!$L$4*'Calc - SA'!$A$14)  )  /  ( ('Calc - SA'!$A$4 - 'Calc - SA'!$A$14)*('Calc - SA'!$L$4 - 'Calc - SA'!$L$14) - ('Calc - SA'!H$4 - 'Calc - SA'!H$14)*('Calc - SA'!$A$4 - 'Calc - SA'!$A$14) )</f>
        <v>#REF!</v>
      </c>
      <c r="I13" s="122" t="str">
        <f>(  ('Calc - SA'!$A$4*'Calc - SA'!I$14 - 'Calc - SA'!I$4*'Calc - SA'!$A$14)*( 'Calc - SA'!$A$4 - 'Calc - SA'!$A$14) - ('Calc - SA'!$A$4 - 'Calc - SA'!$A$14)*('Calc - SA'!$A$4*'Calc - SA'!$L$14 - 'Calc - SA'!$L$4*'Calc - SA'!$A$14)  )  /  ( ('Calc - SA'!$A$4 - 'Calc - SA'!$A$14)*('Calc - SA'!$L$4 - 'Calc - SA'!$L$14) - ('Calc - SA'!I$4 - 'Calc - SA'!I$14)*('Calc - SA'!$A$4 - 'Calc - SA'!$A$14) )</f>
        <v>#REF!</v>
      </c>
      <c r="J13" s="122" t="str">
        <f>(  ('Calc - SA'!$A$4*'Calc - SA'!J$14 - 'Calc - SA'!J$4*'Calc - SA'!$A$14)*( 'Calc - SA'!$A$4 - 'Calc - SA'!$A$14) - ('Calc - SA'!$A$4 - 'Calc - SA'!$A$14)*('Calc - SA'!$A$4*'Calc - SA'!$L$14 - 'Calc - SA'!$L$4*'Calc - SA'!$A$14)  )  /  ( ('Calc - SA'!$A$4 - 'Calc - SA'!$A$14)*('Calc - SA'!$L$4 - 'Calc - SA'!$L$14) - ('Calc - SA'!J$4 - 'Calc - SA'!J$14)*('Calc - SA'!$A$4 - 'Calc - SA'!$A$14) )</f>
        <v>#REF!</v>
      </c>
      <c r="K13" s="122" t="str">
        <f>(  ('Calc - SA'!$A$4*'Calc - SA'!K$14 - 'Calc - SA'!K$4*'Calc - SA'!$A$14)*( 'Calc - SA'!$A$4 - 'Calc - SA'!$A$14) - ('Calc - SA'!$A$4 - 'Calc - SA'!$A$14)*('Calc - SA'!$A$4*'Calc - SA'!$L$14 - 'Calc - SA'!$L$4*'Calc - SA'!$A$14)  )  /  ( ('Calc - SA'!$A$4 - 'Calc - SA'!$A$14)*('Calc - SA'!$L$4 - 'Calc - SA'!$L$14) - ('Calc - SA'!K$4 - 'Calc - SA'!K$14)*('Calc - SA'!$A$4 - 'Calc - SA'!$A$14) )</f>
        <v>#REF!</v>
      </c>
      <c r="L13" s="121"/>
      <c r="M13" s="121"/>
      <c r="N13" s="121"/>
      <c r="O13" s="121"/>
      <c r="P13" s="121"/>
      <c r="Q13" s="121"/>
      <c r="R13" s="121"/>
      <c r="S13" s="121"/>
      <c r="T13" s="121"/>
      <c r="U13" s="121"/>
      <c r="V13" s="121"/>
      <c r="W13" s="121"/>
      <c r="X13" s="121"/>
      <c r="Y13" s="121"/>
      <c r="Z13" s="121"/>
    </row>
    <row r="14" ht="14.25" customHeight="1">
      <c r="A14" s="119" t="str">
        <f t="shared" ref="A14:A27" si="4">#REF!</f>
        <v>#REF!</v>
      </c>
      <c r="B14" s="122" t="str">
        <f>(  ('Calc - SA'!$A$4*'Calc - SA'!B$14 - 'Calc - SA'!B$4*'Calc - SA'!$A$14)*( 'Calc - SA'!$A$4 - 'Calc - SA'!$A$14) - ('Calc - SA'!$A$4 - 'Calc - SA'!$A$14)*('Calc - SA'!$A$4*'Calc - SA'!$M$14 - 'Calc - SA'!$M$4*'Calc - SA'!$A$14)  )  /  ( ('Calc - SA'!$A$4 - 'Calc - SA'!$A$14)*('Calc - SA'!$M$4 - 'Calc - SA'!$M$14) - ('Calc - SA'!B$4 - 'Calc - SA'!B$14)*('Calc - SA'!$A$4 - 'Calc - SA'!$A$14) )</f>
        <v>#REF!</v>
      </c>
      <c r="C14" s="122" t="str">
        <f>(  ('Calc - SA'!$A$4*'Calc - SA'!C$14 - 'Calc - SA'!C$4*'Calc - SA'!$A$14)*( 'Calc - SA'!$A$4 - 'Calc - SA'!$A$14) - ('Calc - SA'!$A$4 - 'Calc - SA'!$A$14)*('Calc - SA'!$A$4*'Calc - SA'!$M$14 - 'Calc - SA'!$M$4*'Calc - SA'!$A$14)  )  /  ( ('Calc - SA'!$A$4 - 'Calc - SA'!$A$14)*('Calc - SA'!$M$4 - 'Calc - SA'!$M$14) - ('Calc - SA'!C$4 - 'Calc - SA'!C$14)*('Calc - SA'!$A$4 - 'Calc - SA'!$A$14) )</f>
        <v>#REF!</v>
      </c>
      <c r="D14" s="122" t="str">
        <f>(  ('Calc - SA'!$A$4*'Calc - SA'!D$14 - 'Calc - SA'!D$4*'Calc - SA'!$A$14)*( 'Calc - SA'!$A$4 - 'Calc - SA'!$A$14) - ('Calc - SA'!$A$4 - 'Calc - SA'!$A$14)*('Calc - SA'!$A$4*'Calc - SA'!$M$14 - 'Calc - SA'!$M$4*'Calc - SA'!$A$14)  )  /  ( ('Calc - SA'!$A$4 - 'Calc - SA'!$A$14)*('Calc - SA'!$M$4 - 'Calc - SA'!$M$14) - ('Calc - SA'!D$4 - 'Calc - SA'!D$14)*('Calc - SA'!$A$4 - 'Calc - SA'!$A$14) )</f>
        <v>#REF!</v>
      </c>
      <c r="E14" s="122" t="str">
        <f>(  ('Calc - SA'!$A$4*'Calc - SA'!E$14 - 'Calc - SA'!E$4*'Calc - SA'!$A$14)*( 'Calc - SA'!$A$4 - 'Calc - SA'!$A$14) - ('Calc - SA'!$A$4 - 'Calc - SA'!$A$14)*('Calc - SA'!$A$4*'Calc - SA'!$M$14 - 'Calc - SA'!$M$4*'Calc - SA'!$A$14)  )  /  ( ('Calc - SA'!$A$4 - 'Calc - SA'!$A$14)*('Calc - SA'!$M$4 - 'Calc - SA'!$M$14) - ('Calc - SA'!E$4 - 'Calc - SA'!E$14)*('Calc - SA'!$A$4 - 'Calc - SA'!$A$14) )</f>
        <v>#REF!</v>
      </c>
      <c r="F14" s="122" t="str">
        <f>(  ('Calc - SA'!$A$4*'Calc - SA'!F$14 - 'Calc - SA'!F$4*'Calc - SA'!$A$14)*( 'Calc - SA'!$A$4 - 'Calc - SA'!$A$14) - ('Calc - SA'!$A$4 - 'Calc - SA'!$A$14)*('Calc - SA'!$A$4*'Calc - SA'!$M$14 - 'Calc - SA'!$M$4*'Calc - SA'!$A$14)  )  /  ( ('Calc - SA'!$A$4 - 'Calc - SA'!$A$14)*('Calc - SA'!$M$4 - 'Calc - SA'!$M$14) - ('Calc - SA'!F$4 - 'Calc - SA'!F$14)*('Calc - SA'!$A$4 - 'Calc - SA'!$A$14) )</f>
        <v>#REF!</v>
      </c>
      <c r="G14" s="122" t="str">
        <f>(  ('Calc - SA'!$A$4*'Calc - SA'!G$14 - 'Calc - SA'!G$4*'Calc - SA'!$A$14)*( 'Calc - SA'!$A$4 - 'Calc - SA'!$A$14) - ('Calc - SA'!$A$4 - 'Calc - SA'!$A$14)*('Calc - SA'!$A$4*'Calc - SA'!$M$14 - 'Calc - SA'!$M$4*'Calc - SA'!$A$14)  )  /  ( ('Calc - SA'!$A$4 - 'Calc - SA'!$A$14)*('Calc - SA'!$M$4 - 'Calc - SA'!$M$14) - ('Calc - SA'!G$4 - 'Calc - SA'!G$14)*('Calc - SA'!$A$4 - 'Calc - SA'!$A$14) )</f>
        <v>#REF!</v>
      </c>
      <c r="H14" s="122" t="str">
        <f>(  ('Calc - SA'!$A$4*'Calc - SA'!H$14 - 'Calc - SA'!H$4*'Calc - SA'!$A$14)*( 'Calc - SA'!$A$4 - 'Calc - SA'!$A$14) - ('Calc - SA'!$A$4 - 'Calc - SA'!$A$14)*('Calc - SA'!$A$4*'Calc - SA'!$M$14 - 'Calc - SA'!$M$4*'Calc - SA'!$A$14)  )  /  ( ('Calc - SA'!$A$4 - 'Calc - SA'!$A$14)*('Calc - SA'!$M$4 - 'Calc - SA'!$M$14) - ('Calc - SA'!H$4 - 'Calc - SA'!H$14)*('Calc - SA'!$A$4 - 'Calc - SA'!$A$14) )</f>
        <v>#REF!</v>
      </c>
      <c r="I14" s="122" t="str">
        <f>(  ('Calc - SA'!$A$4*'Calc - SA'!I$14 - 'Calc - SA'!I$4*'Calc - SA'!$A$14)*( 'Calc - SA'!$A$4 - 'Calc - SA'!$A$14) - ('Calc - SA'!$A$4 - 'Calc - SA'!$A$14)*('Calc - SA'!$A$4*'Calc - SA'!$M$14 - 'Calc - SA'!$M$4*'Calc - SA'!$A$14)  )  /  ( ('Calc - SA'!$A$4 - 'Calc - SA'!$A$14)*('Calc - SA'!$M$4 - 'Calc - SA'!$M$14) - ('Calc - SA'!I$4 - 'Calc - SA'!I$14)*('Calc - SA'!$A$4 - 'Calc - SA'!$A$14) )</f>
        <v>#REF!</v>
      </c>
      <c r="J14" s="122" t="str">
        <f>(  ('Calc - SA'!$A$4*'Calc - SA'!J$14 - 'Calc - SA'!J$4*'Calc - SA'!$A$14)*( 'Calc - SA'!$A$4 - 'Calc - SA'!$A$14) - ('Calc - SA'!$A$4 - 'Calc - SA'!$A$14)*('Calc - SA'!$A$4*'Calc - SA'!$M$14 - 'Calc - SA'!$M$4*'Calc - SA'!$A$14)  )  /  ( ('Calc - SA'!$A$4 - 'Calc - SA'!$A$14)*('Calc - SA'!$M$4 - 'Calc - SA'!$M$14) - ('Calc - SA'!J$4 - 'Calc - SA'!J$14)*('Calc - SA'!$A$4 - 'Calc - SA'!$A$14) )</f>
        <v>#REF!</v>
      </c>
      <c r="K14" s="122" t="str">
        <f>(  ('Calc - SA'!$A$4*'Calc - SA'!K$14 - 'Calc - SA'!K$4*'Calc - SA'!$A$14)*( 'Calc - SA'!$A$4 - 'Calc - SA'!$A$14) - ('Calc - SA'!$A$4 - 'Calc - SA'!$A$14)*('Calc - SA'!$A$4*'Calc - SA'!$M$14 - 'Calc - SA'!$M$4*'Calc - SA'!$A$14)  )  /  ( ('Calc - SA'!$A$4 - 'Calc - SA'!$A$14)*('Calc - SA'!$M$4 - 'Calc - SA'!$M$14) - ('Calc - SA'!K$4 - 'Calc - SA'!K$14)*('Calc - SA'!$A$4 - 'Calc - SA'!$A$14) )</f>
        <v>#REF!</v>
      </c>
      <c r="L14" s="122" t="str">
        <f>(  ('Calc - SA'!$A$4*'Calc - SA'!L$14 - 'Calc - SA'!L$4*'Calc - SA'!$A$14)*( 'Calc - SA'!$A$4 - 'Calc - SA'!$A$14) - ('Calc - SA'!$A$4 - 'Calc - SA'!$A$14)*('Calc - SA'!$A$4*'Calc - SA'!$M$14 - 'Calc - SA'!$M$4*'Calc - SA'!$A$14)  )  /  ( ('Calc - SA'!$A$4 - 'Calc - SA'!$A$14)*('Calc - SA'!$M$4 - 'Calc - SA'!$M$14) - ('Calc - SA'!L$4 - 'Calc - SA'!L$14)*('Calc - SA'!$A$4 - 'Calc - SA'!$A$14) )</f>
        <v>#REF!</v>
      </c>
      <c r="M14" s="121"/>
      <c r="N14" s="121"/>
      <c r="O14" s="121"/>
      <c r="P14" s="121"/>
      <c r="Q14" s="121"/>
      <c r="R14" s="121"/>
      <c r="S14" s="121"/>
      <c r="T14" s="121"/>
      <c r="U14" s="121"/>
      <c r="V14" s="121"/>
      <c r="W14" s="121"/>
      <c r="X14" s="121"/>
      <c r="Y14" s="121"/>
      <c r="Z14" s="121"/>
    </row>
    <row r="15" ht="14.25" customHeight="1">
      <c r="A15" s="119" t="str">
        <f t="shared" si="4"/>
        <v>#REF!</v>
      </c>
      <c r="B15" s="122" t="str">
        <f>(  ('Calc - SA'!$A$4*'Calc - SA'!B$14 - 'Calc - SA'!B$4*'Calc - SA'!$A$14)*( 'Calc - SA'!$A$4 - 'Calc - SA'!$A$14) - ('Calc - SA'!$A$4 - 'Calc - SA'!$A$14)*('Calc - SA'!$A$4*'Calc - SA'!$N$14 - 'Calc - SA'!$N$4*'Calc - SA'!$A$14)  )  /  ( ('Calc - SA'!$A$4 - 'Calc - SA'!$A$14)*('Calc - SA'!$N$4 - 'Calc - SA'!$N$14) - ('Calc - SA'!B$4 - 'Calc - SA'!B$14)*('Calc - SA'!$A$4 - 'Calc - SA'!$A$14) )</f>
        <v>#REF!</v>
      </c>
      <c r="C15" s="122" t="str">
        <f>(  ('Calc - SA'!$A$4*'Calc - SA'!C$14 - 'Calc - SA'!C$4*'Calc - SA'!$A$14)*( 'Calc - SA'!$A$4 - 'Calc - SA'!$A$14) - ('Calc - SA'!$A$4 - 'Calc - SA'!$A$14)*('Calc - SA'!$A$4*'Calc - SA'!$N$14 - 'Calc - SA'!$N$4*'Calc - SA'!$A$14)  )  /  ( ('Calc - SA'!$A$4 - 'Calc - SA'!$A$14)*('Calc - SA'!$N$4 - 'Calc - SA'!$N$14) - ('Calc - SA'!C$4 - 'Calc - SA'!C$14)*('Calc - SA'!$A$4 - 'Calc - SA'!$A$14) )</f>
        <v>#REF!</v>
      </c>
      <c r="D15" s="122" t="str">
        <f>(  ('Calc - SA'!$A$4*'Calc - SA'!D$14 - 'Calc - SA'!D$4*'Calc - SA'!$A$14)*( 'Calc - SA'!$A$4 - 'Calc - SA'!$A$14) - ('Calc - SA'!$A$4 - 'Calc - SA'!$A$14)*('Calc - SA'!$A$4*'Calc - SA'!$N$14 - 'Calc - SA'!$N$4*'Calc - SA'!$A$14)  )  /  ( ('Calc - SA'!$A$4 - 'Calc - SA'!$A$14)*('Calc - SA'!$N$4 - 'Calc - SA'!$N$14) - ('Calc - SA'!D$4 - 'Calc - SA'!D$14)*('Calc - SA'!$A$4 - 'Calc - SA'!$A$14) )</f>
        <v>#REF!</v>
      </c>
      <c r="E15" s="122" t="str">
        <f>(  ('Calc - SA'!$A$4*'Calc - SA'!E$14 - 'Calc - SA'!E$4*'Calc - SA'!$A$14)*( 'Calc - SA'!$A$4 - 'Calc - SA'!$A$14) - ('Calc - SA'!$A$4 - 'Calc - SA'!$A$14)*('Calc - SA'!$A$4*'Calc - SA'!$N$14 - 'Calc - SA'!$N$4*'Calc - SA'!$A$14)  )  /  ( ('Calc - SA'!$A$4 - 'Calc - SA'!$A$14)*('Calc - SA'!$N$4 - 'Calc - SA'!$N$14) - ('Calc - SA'!E$4 - 'Calc - SA'!E$14)*('Calc - SA'!$A$4 - 'Calc - SA'!$A$14) )</f>
        <v>#REF!</v>
      </c>
      <c r="F15" s="122" t="str">
        <f>(  ('Calc - SA'!$A$4*'Calc - SA'!F$14 - 'Calc - SA'!F$4*'Calc - SA'!$A$14)*( 'Calc - SA'!$A$4 - 'Calc - SA'!$A$14) - ('Calc - SA'!$A$4 - 'Calc - SA'!$A$14)*('Calc - SA'!$A$4*'Calc - SA'!$N$14 - 'Calc - SA'!$N$4*'Calc - SA'!$A$14)  )  /  ( ('Calc - SA'!$A$4 - 'Calc - SA'!$A$14)*('Calc - SA'!$N$4 - 'Calc - SA'!$N$14) - ('Calc - SA'!F$4 - 'Calc - SA'!F$14)*('Calc - SA'!$A$4 - 'Calc - SA'!$A$14) )</f>
        <v>#REF!</v>
      </c>
      <c r="G15" s="122" t="str">
        <f>(  ('Calc - SA'!$A$4*'Calc - SA'!G$14 - 'Calc - SA'!G$4*'Calc - SA'!$A$14)*( 'Calc - SA'!$A$4 - 'Calc - SA'!$A$14) - ('Calc - SA'!$A$4 - 'Calc - SA'!$A$14)*('Calc - SA'!$A$4*'Calc - SA'!$N$14 - 'Calc - SA'!$N$4*'Calc - SA'!$A$14)  )  /  ( ('Calc - SA'!$A$4 - 'Calc - SA'!$A$14)*('Calc - SA'!$N$4 - 'Calc - SA'!$N$14) - ('Calc - SA'!G$4 - 'Calc - SA'!G$14)*('Calc - SA'!$A$4 - 'Calc - SA'!$A$14) )</f>
        <v>#REF!</v>
      </c>
      <c r="H15" s="122" t="str">
        <f>(  ('Calc - SA'!$A$4*'Calc - SA'!H$14 - 'Calc - SA'!H$4*'Calc - SA'!$A$14)*( 'Calc - SA'!$A$4 - 'Calc - SA'!$A$14) - ('Calc - SA'!$A$4 - 'Calc - SA'!$A$14)*('Calc - SA'!$A$4*'Calc - SA'!$N$14 - 'Calc - SA'!$N$4*'Calc - SA'!$A$14)  )  /  ( ('Calc - SA'!$A$4 - 'Calc - SA'!$A$14)*('Calc - SA'!$N$4 - 'Calc - SA'!$N$14) - ('Calc - SA'!H$4 - 'Calc - SA'!H$14)*('Calc - SA'!$A$4 - 'Calc - SA'!$A$14) )</f>
        <v>#REF!</v>
      </c>
      <c r="I15" s="122" t="str">
        <f>(  ('Calc - SA'!$A$4*'Calc - SA'!I$14 - 'Calc - SA'!I$4*'Calc - SA'!$A$14)*( 'Calc - SA'!$A$4 - 'Calc - SA'!$A$14) - ('Calc - SA'!$A$4 - 'Calc - SA'!$A$14)*('Calc - SA'!$A$4*'Calc - SA'!$N$14 - 'Calc - SA'!$N$4*'Calc - SA'!$A$14)  )  /  ( ('Calc - SA'!$A$4 - 'Calc - SA'!$A$14)*('Calc - SA'!$N$4 - 'Calc - SA'!$N$14) - ('Calc - SA'!I$4 - 'Calc - SA'!I$14)*('Calc - SA'!$A$4 - 'Calc - SA'!$A$14) )</f>
        <v>#REF!</v>
      </c>
      <c r="J15" s="122" t="str">
        <f>(  ('Calc - SA'!$A$4*'Calc - SA'!J$14 - 'Calc - SA'!J$4*'Calc - SA'!$A$14)*( 'Calc - SA'!$A$4 - 'Calc - SA'!$A$14) - ('Calc - SA'!$A$4 - 'Calc - SA'!$A$14)*('Calc - SA'!$A$4*'Calc - SA'!$N$14 - 'Calc - SA'!$N$4*'Calc - SA'!$A$14)  )  /  ( ('Calc - SA'!$A$4 - 'Calc - SA'!$A$14)*('Calc - SA'!$N$4 - 'Calc - SA'!$N$14) - ('Calc - SA'!J$4 - 'Calc - SA'!J$14)*('Calc - SA'!$A$4 - 'Calc - SA'!$A$14) )</f>
        <v>#REF!</v>
      </c>
      <c r="K15" s="122" t="str">
        <f>(  ('Calc - SA'!$A$4*'Calc - SA'!K$14 - 'Calc - SA'!K$4*'Calc - SA'!$A$14)*( 'Calc - SA'!$A$4 - 'Calc - SA'!$A$14) - ('Calc - SA'!$A$4 - 'Calc - SA'!$A$14)*('Calc - SA'!$A$4*'Calc - SA'!$N$14 - 'Calc - SA'!$N$4*'Calc - SA'!$A$14)  )  /  ( ('Calc - SA'!$A$4 - 'Calc - SA'!$A$14)*('Calc - SA'!$N$4 - 'Calc - SA'!$N$14) - ('Calc - SA'!K$4 - 'Calc - SA'!K$14)*('Calc - SA'!$A$4 - 'Calc - SA'!$A$14) )</f>
        <v>#REF!</v>
      </c>
      <c r="L15" s="122" t="str">
        <f>(  ('Calc - SA'!$A$4*'Calc - SA'!L$14 - 'Calc - SA'!L$4*'Calc - SA'!$A$14)*( 'Calc - SA'!$A$4 - 'Calc - SA'!$A$14) - ('Calc - SA'!$A$4 - 'Calc - SA'!$A$14)*('Calc - SA'!$A$4*'Calc - SA'!$N$14 - 'Calc - SA'!$N$4*'Calc - SA'!$A$14)  )  /  ( ('Calc - SA'!$A$4 - 'Calc - SA'!$A$14)*('Calc - SA'!$N$4 - 'Calc - SA'!$N$14) - ('Calc - SA'!L$4 - 'Calc - SA'!L$14)*('Calc - SA'!$A$4 - 'Calc - SA'!$A$14) )</f>
        <v>#REF!</v>
      </c>
      <c r="M15" s="122" t="str">
        <f>(  ('Calc - SA'!$A$4*'Calc - SA'!M$14 - 'Calc - SA'!M$4*'Calc - SA'!$A$14)*( 'Calc - SA'!$A$4 - 'Calc - SA'!$A$14) - ('Calc - SA'!$A$4 - 'Calc - SA'!$A$14)*('Calc - SA'!$A$4*'Calc - SA'!$N$14 - 'Calc - SA'!$N$4*'Calc - SA'!$A$14)  )  /  ( ('Calc - SA'!$A$4 - 'Calc - SA'!$A$14)*('Calc - SA'!$N$4 - 'Calc - SA'!$N$14) - ('Calc - SA'!M$4 - 'Calc - SA'!M$14)*('Calc - SA'!$A$4 - 'Calc - SA'!$A$14) )</f>
        <v>#REF!</v>
      </c>
      <c r="N15" s="121"/>
      <c r="O15" s="121"/>
      <c r="P15" s="121"/>
      <c r="Q15" s="121"/>
      <c r="R15" s="121"/>
      <c r="S15" s="121"/>
      <c r="T15" s="121"/>
      <c r="U15" s="121"/>
      <c r="V15" s="121"/>
      <c r="W15" s="121"/>
      <c r="X15" s="121"/>
      <c r="Y15" s="121"/>
      <c r="Z15" s="121"/>
    </row>
    <row r="16" ht="14.25" customHeight="1">
      <c r="A16" s="119" t="str">
        <f t="shared" si="4"/>
        <v>#REF!</v>
      </c>
      <c r="B16" s="122" t="str">
        <f>(  ('Calc - SA'!$A$4*'Calc - SA'!B$14 - 'Calc - SA'!B$4*'Calc - SA'!$A$14)*( 'Calc - SA'!$A$4 - 'Calc - SA'!$A$14) - ('Calc - SA'!$A$4 - 'Calc - SA'!$A$14)*('Calc - SA'!$A$4*'Calc - SA'!$O$14 - 'Calc - SA'!$O$4*'Calc - SA'!$A$14)  )  /  ( ('Calc - SA'!$A$4 - 'Calc - SA'!$A$14)*('Calc - SA'!$O$4 - 'Calc - SA'!$O$14) - ('Calc - SA'!B$4 - 'Calc - SA'!B$14)*('Calc - SA'!$A$4 - 'Calc - SA'!$A$14) )</f>
        <v>#REF!</v>
      </c>
      <c r="C16" s="122" t="str">
        <f>(  ('Calc - SA'!$A$4*'Calc - SA'!C$14 - 'Calc - SA'!C$4*'Calc - SA'!$A$14)*( 'Calc - SA'!$A$4 - 'Calc - SA'!$A$14) - ('Calc - SA'!$A$4 - 'Calc - SA'!$A$14)*('Calc - SA'!$A$4*'Calc - SA'!$O$14 - 'Calc - SA'!$O$4*'Calc - SA'!$A$14)  )  /  ( ('Calc - SA'!$A$4 - 'Calc - SA'!$A$14)*('Calc - SA'!$O$4 - 'Calc - SA'!$O$14) - ('Calc - SA'!C$4 - 'Calc - SA'!C$14)*('Calc - SA'!$A$4 - 'Calc - SA'!$A$14) )</f>
        <v>#REF!</v>
      </c>
      <c r="D16" s="122" t="str">
        <f>(  ('Calc - SA'!$A$4*'Calc - SA'!D$14 - 'Calc - SA'!D$4*'Calc - SA'!$A$14)*( 'Calc - SA'!$A$4 - 'Calc - SA'!$A$14) - ('Calc - SA'!$A$4 - 'Calc - SA'!$A$14)*('Calc - SA'!$A$4*'Calc - SA'!$O$14 - 'Calc - SA'!$O$4*'Calc - SA'!$A$14)  )  /  ( ('Calc - SA'!$A$4 - 'Calc - SA'!$A$14)*('Calc - SA'!$O$4 - 'Calc - SA'!$O$14) - ('Calc - SA'!D$4 - 'Calc - SA'!D$14)*('Calc - SA'!$A$4 - 'Calc - SA'!$A$14) )</f>
        <v>#REF!</v>
      </c>
      <c r="E16" s="122" t="str">
        <f>(  ('Calc - SA'!$A$4*'Calc - SA'!E$14 - 'Calc - SA'!E$4*'Calc - SA'!$A$14)*( 'Calc - SA'!$A$4 - 'Calc - SA'!$A$14) - ('Calc - SA'!$A$4 - 'Calc - SA'!$A$14)*('Calc - SA'!$A$4*'Calc - SA'!$O$14 - 'Calc - SA'!$O$4*'Calc - SA'!$A$14)  )  /  ( ('Calc - SA'!$A$4 - 'Calc - SA'!$A$14)*('Calc - SA'!$O$4 - 'Calc - SA'!$O$14) - ('Calc - SA'!E$4 - 'Calc - SA'!E$14)*('Calc - SA'!$A$4 - 'Calc - SA'!$A$14) )</f>
        <v>#REF!</v>
      </c>
      <c r="F16" s="122" t="str">
        <f>(  ('Calc - SA'!$A$4*'Calc - SA'!F$14 - 'Calc - SA'!F$4*'Calc - SA'!$A$14)*( 'Calc - SA'!$A$4 - 'Calc - SA'!$A$14) - ('Calc - SA'!$A$4 - 'Calc - SA'!$A$14)*('Calc - SA'!$A$4*'Calc - SA'!$O$14 - 'Calc - SA'!$O$4*'Calc - SA'!$A$14)  )  /  ( ('Calc - SA'!$A$4 - 'Calc - SA'!$A$14)*('Calc - SA'!$O$4 - 'Calc - SA'!$O$14) - ('Calc - SA'!F$4 - 'Calc - SA'!F$14)*('Calc - SA'!$A$4 - 'Calc - SA'!$A$14) )</f>
        <v>#REF!</v>
      </c>
      <c r="G16" s="122" t="str">
        <f>(  ('Calc - SA'!$A$4*'Calc - SA'!G$14 - 'Calc - SA'!G$4*'Calc - SA'!$A$14)*( 'Calc - SA'!$A$4 - 'Calc - SA'!$A$14) - ('Calc - SA'!$A$4 - 'Calc - SA'!$A$14)*('Calc - SA'!$A$4*'Calc - SA'!$O$14 - 'Calc - SA'!$O$4*'Calc - SA'!$A$14)  )  /  ( ('Calc - SA'!$A$4 - 'Calc - SA'!$A$14)*('Calc - SA'!$O$4 - 'Calc - SA'!$O$14) - ('Calc - SA'!G$4 - 'Calc - SA'!G$14)*('Calc - SA'!$A$4 - 'Calc - SA'!$A$14) )</f>
        <v>#REF!</v>
      </c>
      <c r="H16" s="122" t="str">
        <f>(  ('Calc - SA'!$A$4*'Calc - SA'!H$14 - 'Calc - SA'!H$4*'Calc - SA'!$A$14)*( 'Calc - SA'!$A$4 - 'Calc - SA'!$A$14) - ('Calc - SA'!$A$4 - 'Calc - SA'!$A$14)*('Calc - SA'!$A$4*'Calc - SA'!$O$14 - 'Calc - SA'!$O$4*'Calc - SA'!$A$14)  )  /  ( ('Calc - SA'!$A$4 - 'Calc - SA'!$A$14)*('Calc - SA'!$O$4 - 'Calc - SA'!$O$14) - ('Calc - SA'!H$4 - 'Calc - SA'!H$14)*('Calc - SA'!$A$4 - 'Calc - SA'!$A$14) )</f>
        <v>#REF!</v>
      </c>
      <c r="I16" s="122" t="str">
        <f>(  ('Calc - SA'!$A$4*'Calc - SA'!I$14 - 'Calc - SA'!I$4*'Calc - SA'!$A$14)*( 'Calc - SA'!$A$4 - 'Calc - SA'!$A$14) - ('Calc - SA'!$A$4 - 'Calc - SA'!$A$14)*('Calc - SA'!$A$4*'Calc - SA'!$O$14 - 'Calc - SA'!$O$4*'Calc - SA'!$A$14)  )  /  ( ('Calc - SA'!$A$4 - 'Calc - SA'!$A$14)*('Calc - SA'!$O$4 - 'Calc - SA'!$O$14) - ('Calc - SA'!I$4 - 'Calc - SA'!I$14)*('Calc - SA'!$A$4 - 'Calc - SA'!$A$14) )</f>
        <v>#REF!</v>
      </c>
      <c r="J16" s="122" t="str">
        <f>(  ('Calc - SA'!$A$4*'Calc - SA'!J$14 - 'Calc - SA'!J$4*'Calc - SA'!$A$14)*( 'Calc - SA'!$A$4 - 'Calc - SA'!$A$14) - ('Calc - SA'!$A$4 - 'Calc - SA'!$A$14)*('Calc - SA'!$A$4*'Calc - SA'!$O$14 - 'Calc - SA'!$O$4*'Calc - SA'!$A$14)  )  /  ( ('Calc - SA'!$A$4 - 'Calc - SA'!$A$14)*('Calc - SA'!$O$4 - 'Calc - SA'!$O$14) - ('Calc - SA'!J$4 - 'Calc - SA'!J$14)*('Calc - SA'!$A$4 - 'Calc - SA'!$A$14) )</f>
        <v>#REF!</v>
      </c>
      <c r="K16" s="122" t="str">
        <f>(  ('Calc - SA'!$A$4*'Calc - SA'!K$14 - 'Calc - SA'!K$4*'Calc - SA'!$A$14)*( 'Calc - SA'!$A$4 - 'Calc - SA'!$A$14) - ('Calc - SA'!$A$4 - 'Calc - SA'!$A$14)*('Calc - SA'!$A$4*'Calc - SA'!$O$14 - 'Calc - SA'!$O$4*'Calc - SA'!$A$14)  )  /  ( ('Calc - SA'!$A$4 - 'Calc - SA'!$A$14)*('Calc - SA'!$O$4 - 'Calc - SA'!$O$14) - ('Calc - SA'!K$4 - 'Calc - SA'!K$14)*('Calc - SA'!$A$4 - 'Calc - SA'!$A$14) )</f>
        <v>#REF!</v>
      </c>
      <c r="L16" s="122" t="str">
        <f>(  ('Calc - SA'!$A$4*'Calc - SA'!L$14 - 'Calc - SA'!L$4*'Calc - SA'!$A$14)*( 'Calc - SA'!$A$4 - 'Calc - SA'!$A$14) - ('Calc - SA'!$A$4 - 'Calc - SA'!$A$14)*('Calc - SA'!$A$4*'Calc - SA'!$O$14 - 'Calc - SA'!$O$4*'Calc - SA'!$A$14)  )  /  ( ('Calc - SA'!$A$4 - 'Calc - SA'!$A$14)*('Calc - SA'!$O$4 - 'Calc - SA'!$O$14) - ('Calc - SA'!L$4 - 'Calc - SA'!L$14)*('Calc - SA'!$A$4 - 'Calc - SA'!$A$14) )</f>
        <v>#REF!</v>
      </c>
      <c r="M16" s="122" t="str">
        <f>(  ('Calc - SA'!$A$4*'Calc - SA'!M$14 - 'Calc - SA'!M$4*'Calc - SA'!$A$14)*( 'Calc - SA'!$A$4 - 'Calc - SA'!$A$14) - ('Calc - SA'!$A$4 - 'Calc - SA'!$A$14)*('Calc - SA'!$A$4*'Calc - SA'!$O$14 - 'Calc - SA'!$O$4*'Calc - SA'!$A$14)  )  /  ( ('Calc - SA'!$A$4 - 'Calc - SA'!$A$14)*('Calc - SA'!$O$4 - 'Calc - SA'!$O$14) - ('Calc - SA'!M$4 - 'Calc - SA'!M$14)*('Calc - SA'!$A$4 - 'Calc - SA'!$A$14) )</f>
        <v>#REF!</v>
      </c>
      <c r="N16" s="122" t="str">
        <f>(  ('Calc - SA'!$A$4*'Calc - SA'!N$14 - 'Calc - SA'!N$4*'Calc - SA'!$A$14)*( 'Calc - SA'!$A$4 - 'Calc - SA'!$A$14) - ('Calc - SA'!$A$4 - 'Calc - SA'!$A$14)*('Calc - SA'!$A$4*'Calc - SA'!$O$14 - 'Calc - SA'!$O$4*'Calc - SA'!$A$14)  )  /  ( ('Calc - SA'!$A$4 - 'Calc - SA'!$A$14)*('Calc - SA'!$O$4 - 'Calc - SA'!$O$14) - ('Calc - SA'!N$4 - 'Calc - SA'!N$14)*('Calc - SA'!$A$4 - 'Calc - SA'!$A$14) )</f>
        <v>#REF!</v>
      </c>
      <c r="O16" s="121"/>
      <c r="P16" s="121"/>
      <c r="Q16" s="121"/>
      <c r="R16" s="121"/>
      <c r="S16" s="121"/>
      <c r="T16" s="121"/>
      <c r="U16" s="121"/>
      <c r="V16" s="121"/>
      <c r="W16" s="121"/>
      <c r="X16" s="121"/>
      <c r="Y16" s="121"/>
      <c r="Z16" s="121"/>
    </row>
    <row r="17" ht="14.25" customHeight="1">
      <c r="A17" s="119" t="str">
        <f t="shared" si="4"/>
        <v>#REF!</v>
      </c>
      <c r="B17" s="122" t="str">
        <f>(  ('Calc - SA'!$A$4*'Calc - SA'!B$14 - 'Calc - SA'!B$4*'Calc - SA'!$A$14)*( 'Calc - SA'!$A$4 - 'Calc - SA'!$A$14) - ('Calc - SA'!$A$4 - 'Calc - SA'!$A$14)*('Calc - SA'!$A$4*'Calc - SA'!$P$14 - 'Calc - SA'!$P$4*'Calc - SA'!$A$14)  )  /  ( ('Calc - SA'!$A$4 - 'Calc - SA'!$A$14)*('Calc - SA'!$P$4 - 'Calc - SA'!$P$14) - ('Calc - SA'!B$4 - 'Calc - SA'!B$14)*('Calc - SA'!$A$4 - 'Calc - SA'!$A$14) )</f>
        <v>#REF!</v>
      </c>
      <c r="C17" s="122" t="str">
        <f>(  ('Calc - SA'!$A$4*'Calc - SA'!C$14 - 'Calc - SA'!C$4*'Calc - SA'!$A$14)*( 'Calc - SA'!$A$4 - 'Calc - SA'!$A$14) - ('Calc - SA'!$A$4 - 'Calc - SA'!$A$14)*('Calc - SA'!$A$4*'Calc - SA'!$P$14 - 'Calc - SA'!$P$4*'Calc - SA'!$A$14)  )  /  ( ('Calc - SA'!$A$4 - 'Calc - SA'!$A$14)*('Calc - SA'!$P$4 - 'Calc - SA'!$P$14) - ('Calc - SA'!C$4 - 'Calc - SA'!C$14)*('Calc - SA'!$A$4 - 'Calc - SA'!$A$14) )</f>
        <v>#REF!</v>
      </c>
      <c r="D17" s="122" t="str">
        <f>(  ('Calc - SA'!$A$4*'Calc - SA'!D$14 - 'Calc - SA'!D$4*'Calc - SA'!$A$14)*( 'Calc - SA'!$A$4 - 'Calc - SA'!$A$14) - ('Calc - SA'!$A$4 - 'Calc - SA'!$A$14)*('Calc - SA'!$A$4*'Calc - SA'!$P$14 - 'Calc - SA'!$P$4*'Calc - SA'!$A$14)  )  /  ( ('Calc - SA'!$A$4 - 'Calc - SA'!$A$14)*('Calc - SA'!$P$4 - 'Calc - SA'!$P$14) - ('Calc - SA'!D$4 - 'Calc - SA'!D$14)*('Calc - SA'!$A$4 - 'Calc - SA'!$A$14) )</f>
        <v>#REF!</v>
      </c>
      <c r="E17" s="122" t="str">
        <f>(  ('Calc - SA'!$A$4*'Calc - SA'!E$14 - 'Calc - SA'!E$4*'Calc - SA'!$A$14)*( 'Calc - SA'!$A$4 - 'Calc - SA'!$A$14) - ('Calc - SA'!$A$4 - 'Calc - SA'!$A$14)*('Calc - SA'!$A$4*'Calc - SA'!$P$14 - 'Calc - SA'!$P$4*'Calc - SA'!$A$14)  )  /  ( ('Calc - SA'!$A$4 - 'Calc - SA'!$A$14)*('Calc - SA'!$P$4 - 'Calc - SA'!$P$14) - ('Calc - SA'!E$4 - 'Calc - SA'!E$14)*('Calc - SA'!$A$4 - 'Calc - SA'!$A$14) )</f>
        <v>#REF!</v>
      </c>
      <c r="F17" s="122" t="str">
        <f>(  ('Calc - SA'!$A$4*'Calc - SA'!F$14 - 'Calc - SA'!F$4*'Calc - SA'!$A$14)*( 'Calc - SA'!$A$4 - 'Calc - SA'!$A$14) - ('Calc - SA'!$A$4 - 'Calc - SA'!$A$14)*('Calc - SA'!$A$4*'Calc - SA'!$P$14 - 'Calc - SA'!$P$4*'Calc - SA'!$A$14)  )  /  ( ('Calc - SA'!$A$4 - 'Calc - SA'!$A$14)*('Calc - SA'!$P$4 - 'Calc - SA'!$P$14) - ('Calc - SA'!F$4 - 'Calc - SA'!F$14)*('Calc - SA'!$A$4 - 'Calc - SA'!$A$14) )</f>
        <v>#REF!</v>
      </c>
      <c r="G17" s="122" t="str">
        <f>(  ('Calc - SA'!$A$4*'Calc - SA'!G$14 - 'Calc - SA'!G$4*'Calc - SA'!$A$14)*( 'Calc - SA'!$A$4 - 'Calc - SA'!$A$14) - ('Calc - SA'!$A$4 - 'Calc - SA'!$A$14)*('Calc - SA'!$A$4*'Calc - SA'!$P$14 - 'Calc - SA'!$P$4*'Calc - SA'!$A$14)  )  /  ( ('Calc - SA'!$A$4 - 'Calc - SA'!$A$14)*('Calc - SA'!$P$4 - 'Calc - SA'!$P$14) - ('Calc - SA'!G$4 - 'Calc - SA'!G$14)*('Calc - SA'!$A$4 - 'Calc - SA'!$A$14) )</f>
        <v>#REF!</v>
      </c>
      <c r="H17" s="122" t="str">
        <f>(  ('Calc - SA'!$A$4*'Calc - SA'!H$14 - 'Calc - SA'!H$4*'Calc - SA'!$A$14)*( 'Calc - SA'!$A$4 - 'Calc - SA'!$A$14) - ('Calc - SA'!$A$4 - 'Calc - SA'!$A$14)*('Calc - SA'!$A$4*'Calc - SA'!$P$14 - 'Calc - SA'!$P$4*'Calc - SA'!$A$14)  )  /  ( ('Calc - SA'!$A$4 - 'Calc - SA'!$A$14)*('Calc - SA'!$P$4 - 'Calc - SA'!$P$14) - ('Calc - SA'!H$4 - 'Calc - SA'!H$14)*('Calc - SA'!$A$4 - 'Calc - SA'!$A$14) )</f>
        <v>#REF!</v>
      </c>
      <c r="I17" s="122" t="str">
        <f>(  ('Calc - SA'!$A$4*'Calc - SA'!I$14 - 'Calc - SA'!I$4*'Calc - SA'!$A$14)*( 'Calc - SA'!$A$4 - 'Calc - SA'!$A$14) - ('Calc - SA'!$A$4 - 'Calc - SA'!$A$14)*('Calc - SA'!$A$4*'Calc - SA'!$P$14 - 'Calc - SA'!$P$4*'Calc - SA'!$A$14)  )  /  ( ('Calc - SA'!$A$4 - 'Calc - SA'!$A$14)*('Calc - SA'!$P$4 - 'Calc - SA'!$P$14) - ('Calc - SA'!I$4 - 'Calc - SA'!I$14)*('Calc - SA'!$A$4 - 'Calc - SA'!$A$14) )</f>
        <v>#REF!</v>
      </c>
      <c r="J17" s="122" t="str">
        <f>(  ('Calc - SA'!$A$4*'Calc - SA'!J$14 - 'Calc - SA'!J$4*'Calc - SA'!$A$14)*( 'Calc - SA'!$A$4 - 'Calc - SA'!$A$14) - ('Calc - SA'!$A$4 - 'Calc - SA'!$A$14)*('Calc - SA'!$A$4*'Calc - SA'!$P$14 - 'Calc - SA'!$P$4*'Calc - SA'!$A$14)  )  /  ( ('Calc - SA'!$A$4 - 'Calc - SA'!$A$14)*('Calc - SA'!$P$4 - 'Calc - SA'!$P$14) - ('Calc - SA'!J$4 - 'Calc - SA'!J$14)*('Calc - SA'!$A$4 - 'Calc - SA'!$A$14) )</f>
        <v>#REF!</v>
      </c>
      <c r="K17" s="122" t="str">
        <f>(  ('Calc - SA'!$A$4*'Calc - SA'!K$14 - 'Calc - SA'!K$4*'Calc - SA'!$A$14)*( 'Calc - SA'!$A$4 - 'Calc - SA'!$A$14) - ('Calc - SA'!$A$4 - 'Calc - SA'!$A$14)*('Calc - SA'!$A$4*'Calc - SA'!$P$14 - 'Calc - SA'!$P$4*'Calc - SA'!$A$14)  )  /  ( ('Calc - SA'!$A$4 - 'Calc - SA'!$A$14)*('Calc - SA'!$P$4 - 'Calc - SA'!$P$14) - ('Calc - SA'!K$4 - 'Calc - SA'!K$14)*('Calc - SA'!$A$4 - 'Calc - SA'!$A$14) )</f>
        <v>#REF!</v>
      </c>
      <c r="L17" s="122" t="str">
        <f>(  ('Calc - SA'!$A$4*'Calc - SA'!L$14 - 'Calc - SA'!L$4*'Calc - SA'!$A$14)*( 'Calc - SA'!$A$4 - 'Calc - SA'!$A$14) - ('Calc - SA'!$A$4 - 'Calc - SA'!$A$14)*('Calc - SA'!$A$4*'Calc - SA'!$P$14 - 'Calc - SA'!$P$4*'Calc - SA'!$A$14)  )  /  ( ('Calc - SA'!$A$4 - 'Calc - SA'!$A$14)*('Calc - SA'!$P$4 - 'Calc - SA'!$P$14) - ('Calc - SA'!L$4 - 'Calc - SA'!L$14)*('Calc - SA'!$A$4 - 'Calc - SA'!$A$14) )</f>
        <v>#REF!</v>
      </c>
      <c r="M17" s="122" t="str">
        <f>(  ('Calc - SA'!$A$4*'Calc - SA'!M$14 - 'Calc - SA'!M$4*'Calc - SA'!$A$14)*( 'Calc - SA'!$A$4 - 'Calc - SA'!$A$14) - ('Calc - SA'!$A$4 - 'Calc - SA'!$A$14)*('Calc - SA'!$A$4*'Calc - SA'!$P$14 - 'Calc - SA'!$P$4*'Calc - SA'!$A$14)  )  /  ( ('Calc - SA'!$A$4 - 'Calc - SA'!$A$14)*('Calc - SA'!$P$4 - 'Calc - SA'!$P$14) - ('Calc - SA'!M$4 - 'Calc - SA'!M$14)*('Calc - SA'!$A$4 - 'Calc - SA'!$A$14) )</f>
        <v>#REF!</v>
      </c>
      <c r="N17" s="122" t="str">
        <f>(  ('Calc - SA'!$A$4*'Calc - SA'!N$14 - 'Calc - SA'!N$4*'Calc - SA'!$A$14)*( 'Calc - SA'!$A$4 - 'Calc - SA'!$A$14) - ('Calc - SA'!$A$4 - 'Calc - SA'!$A$14)*('Calc - SA'!$A$4*'Calc - SA'!$P$14 - 'Calc - SA'!$P$4*'Calc - SA'!$A$14)  )  /  ( ('Calc - SA'!$A$4 - 'Calc - SA'!$A$14)*('Calc - SA'!$P$4 - 'Calc - SA'!$P$14) - ('Calc - SA'!N$4 - 'Calc - SA'!N$14)*('Calc - SA'!$A$4 - 'Calc - SA'!$A$14) )</f>
        <v>#REF!</v>
      </c>
      <c r="O17" s="122" t="str">
        <f>(  ('Calc - SA'!$A$4*'Calc - SA'!O$14 - 'Calc - SA'!O$4*'Calc - SA'!$A$14)*( 'Calc - SA'!$A$4 - 'Calc - SA'!$A$14) - ('Calc - SA'!$A$4 - 'Calc - SA'!$A$14)*('Calc - SA'!$A$4*'Calc - SA'!$P$14 - 'Calc - SA'!$P$4*'Calc - SA'!$A$14)  )  /  ( ('Calc - SA'!$A$4 - 'Calc - SA'!$A$14)*('Calc - SA'!$P$4 - 'Calc - SA'!$P$14) - ('Calc - SA'!O$4 - 'Calc - SA'!O$14)*('Calc - SA'!$A$4 - 'Calc - SA'!$A$14) )</f>
        <v>#REF!</v>
      </c>
      <c r="P17" s="121"/>
      <c r="Q17" s="121"/>
      <c r="R17" s="121"/>
      <c r="S17" s="121"/>
      <c r="T17" s="121"/>
      <c r="U17" s="121"/>
      <c r="V17" s="121"/>
      <c r="W17" s="121"/>
      <c r="X17" s="121"/>
      <c r="Y17" s="121"/>
      <c r="Z17" s="121"/>
    </row>
    <row r="18" ht="14.25" customHeight="1">
      <c r="A18" s="119" t="str">
        <f t="shared" si="4"/>
        <v>#REF!</v>
      </c>
      <c r="B18" s="122" t="str">
        <f>(  ('Calc - SA'!$A$4*'Calc - SA'!B$14 - 'Calc - SA'!B$4*'Calc - SA'!$A$14)*( 'Calc - SA'!$A$4 - 'Calc - SA'!$A$14) - ('Calc - SA'!$A$4 - 'Calc - SA'!$A$14)*('Calc - SA'!$A$4*'Calc - SA'!$Q$14 - 'Calc - SA'!$Q$4*'Calc - SA'!$A$14)  )  /  ( ('Calc - SA'!$A$4 - 'Calc - SA'!$A$14)*('Calc - SA'!$Q$4 - 'Calc - SA'!$Q$14) - ('Calc - SA'!B$4 - 'Calc - SA'!B$14)*('Calc - SA'!$A$4 - 'Calc - SA'!$A$14) )</f>
        <v>#REF!</v>
      </c>
      <c r="C18" s="122" t="str">
        <f>(  ('Calc - SA'!$A$4*'Calc - SA'!C$14 - 'Calc - SA'!C$4*'Calc - SA'!$A$14)*( 'Calc - SA'!$A$4 - 'Calc - SA'!$A$14) - ('Calc - SA'!$A$4 - 'Calc - SA'!$A$14)*('Calc - SA'!$A$4*'Calc - SA'!$Q$14 - 'Calc - SA'!$Q$4*'Calc - SA'!$A$14)  )  /  ( ('Calc - SA'!$A$4 - 'Calc - SA'!$A$14)*('Calc - SA'!$Q$4 - 'Calc - SA'!$Q$14) - ('Calc - SA'!C$4 - 'Calc - SA'!C$14)*('Calc - SA'!$A$4 - 'Calc - SA'!$A$14) )</f>
        <v>#REF!</v>
      </c>
      <c r="D18" s="122" t="str">
        <f>(  ('Calc - SA'!$A$4*'Calc - SA'!D$14 - 'Calc - SA'!D$4*'Calc - SA'!$A$14)*( 'Calc - SA'!$A$4 - 'Calc - SA'!$A$14) - ('Calc - SA'!$A$4 - 'Calc - SA'!$A$14)*('Calc - SA'!$A$4*'Calc - SA'!$Q$14 - 'Calc - SA'!$Q$4*'Calc - SA'!$A$14)  )  /  ( ('Calc - SA'!$A$4 - 'Calc - SA'!$A$14)*('Calc - SA'!$Q$4 - 'Calc - SA'!$Q$14) - ('Calc - SA'!D$4 - 'Calc - SA'!D$14)*('Calc - SA'!$A$4 - 'Calc - SA'!$A$14) )</f>
        <v>#REF!</v>
      </c>
      <c r="E18" s="122" t="str">
        <f>(  ('Calc - SA'!$A$4*'Calc - SA'!E$14 - 'Calc - SA'!E$4*'Calc - SA'!$A$14)*( 'Calc - SA'!$A$4 - 'Calc - SA'!$A$14) - ('Calc - SA'!$A$4 - 'Calc - SA'!$A$14)*('Calc - SA'!$A$4*'Calc - SA'!$Q$14 - 'Calc - SA'!$Q$4*'Calc - SA'!$A$14)  )  /  ( ('Calc - SA'!$A$4 - 'Calc - SA'!$A$14)*('Calc - SA'!$Q$4 - 'Calc - SA'!$Q$14) - ('Calc - SA'!E$4 - 'Calc - SA'!E$14)*('Calc - SA'!$A$4 - 'Calc - SA'!$A$14) )</f>
        <v>#REF!</v>
      </c>
      <c r="F18" s="122" t="str">
        <f>(  ('Calc - SA'!$A$4*'Calc - SA'!F$14 - 'Calc - SA'!F$4*'Calc - SA'!$A$14)*( 'Calc - SA'!$A$4 - 'Calc - SA'!$A$14) - ('Calc - SA'!$A$4 - 'Calc - SA'!$A$14)*('Calc - SA'!$A$4*'Calc - SA'!$Q$14 - 'Calc - SA'!$Q$4*'Calc - SA'!$A$14)  )  /  ( ('Calc - SA'!$A$4 - 'Calc - SA'!$A$14)*('Calc - SA'!$Q$4 - 'Calc - SA'!$Q$14) - ('Calc - SA'!F$4 - 'Calc - SA'!F$14)*('Calc - SA'!$A$4 - 'Calc - SA'!$A$14) )</f>
        <v>#REF!</v>
      </c>
      <c r="G18" s="122" t="str">
        <f>(  ('Calc - SA'!$A$4*'Calc - SA'!G$14 - 'Calc - SA'!G$4*'Calc - SA'!$A$14)*( 'Calc - SA'!$A$4 - 'Calc - SA'!$A$14) - ('Calc - SA'!$A$4 - 'Calc - SA'!$A$14)*('Calc - SA'!$A$4*'Calc - SA'!$Q$14 - 'Calc - SA'!$Q$4*'Calc - SA'!$A$14)  )  /  ( ('Calc - SA'!$A$4 - 'Calc - SA'!$A$14)*('Calc - SA'!$Q$4 - 'Calc - SA'!$Q$14) - ('Calc - SA'!G$4 - 'Calc - SA'!G$14)*('Calc - SA'!$A$4 - 'Calc - SA'!$A$14) )</f>
        <v>#REF!</v>
      </c>
      <c r="H18" s="122" t="str">
        <f>(  ('Calc - SA'!$A$4*'Calc - SA'!H$14 - 'Calc - SA'!H$4*'Calc - SA'!$A$14)*( 'Calc - SA'!$A$4 - 'Calc - SA'!$A$14) - ('Calc - SA'!$A$4 - 'Calc - SA'!$A$14)*('Calc - SA'!$A$4*'Calc - SA'!$Q$14 - 'Calc - SA'!$Q$4*'Calc - SA'!$A$14)  )  /  ( ('Calc - SA'!$A$4 - 'Calc - SA'!$A$14)*('Calc - SA'!$Q$4 - 'Calc - SA'!$Q$14) - ('Calc - SA'!H$4 - 'Calc - SA'!H$14)*('Calc - SA'!$A$4 - 'Calc - SA'!$A$14) )</f>
        <v>#REF!</v>
      </c>
      <c r="I18" s="122" t="str">
        <f>(  ('Calc - SA'!$A$4*'Calc - SA'!I$14 - 'Calc - SA'!I$4*'Calc - SA'!$A$14)*( 'Calc - SA'!$A$4 - 'Calc - SA'!$A$14) - ('Calc - SA'!$A$4 - 'Calc - SA'!$A$14)*('Calc - SA'!$A$4*'Calc - SA'!$Q$14 - 'Calc - SA'!$Q$4*'Calc - SA'!$A$14)  )  /  ( ('Calc - SA'!$A$4 - 'Calc - SA'!$A$14)*('Calc - SA'!$Q$4 - 'Calc - SA'!$Q$14) - ('Calc - SA'!I$4 - 'Calc - SA'!I$14)*('Calc - SA'!$A$4 - 'Calc - SA'!$A$14) )</f>
        <v>#REF!</v>
      </c>
      <c r="J18" s="122" t="str">
        <f>(  ('Calc - SA'!$A$4*'Calc - SA'!J$14 - 'Calc - SA'!J$4*'Calc - SA'!$A$14)*( 'Calc - SA'!$A$4 - 'Calc - SA'!$A$14) - ('Calc - SA'!$A$4 - 'Calc - SA'!$A$14)*('Calc - SA'!$A$4*'Calc - SA'!$Q$14 - 'Calc - SA'!$Q$4*'Calc - SA'!$A$14)  )  /  ( ('Calc - SA'!$A$4 - 'Calc - SA'!$A$14)*('Calc - SA'!$Q$4 - 'Calc - SA'!$Q$14) - ('Calc - SA'!J$4 - 'Calc - SA'!J$14)*('Calc - SA'!$A$4 - 'Calc - SA'!$A$14) )</f>
        <v>#REF!</v>
      </c>
      <c r="K18" s="122" t="str">
        <f>(  ('Calc - SA'!$A$4*'Calc - SA'!K$14 - 'Calc - SA'!K$4*'Calc - SA'!$A$14)*( 'Calc - SA'!$A$4 - 'Calc - SA'!$A$14) - ('Calc - SA'!$A$4 - 'Calc - SA'!$A$14)*('Calc - SA'!$A$4*'Calc - SA'!$Q$14 - 'Calc - SA'!$Q$4*'Calc - SA'!$A$14)  )  /  ( ('Calc - SA'!$A$4 - 'Calc - SA'!$A$14)*('Calc - SA'!$Q$4 - 'Calc - SA'!$Q$14) - ('Calc - SA'!K$4 - 'Calc - SA'!K$14)*('Calc - SA'!$A$4 - 'Calc - SA'!$A$14) )</f>
        <v>#REF!</v>
      </c>
      <c r="L18" s="122" t="str">
        <f>(  ('Calc - SA'!$A$4*'Calc - SA'!L$14 - 'Calc - SA'!L$4*'Calc - SA'!$A$14)*( 'Calc - SA'!$A$4 - 'Calc - SA'!$A$14) - ('Calc - SA'!$A$4 - 'Calc - SA'!$A$14)*('Calc - SA'!$A$4*'Calc - SA'!$Q$14 - 'Calc - SA'!$Q$4*'Calc - SA'!$A$14)  )  /  ( ('Calc - SA'!$A$4 - 'Calc - SA'!$A$14)*('Calc - SA'!$Q$4 - 'Calc - SA'!$Q$14) - ('Calc - SA'!L$4 - 'Calc - SA'!L$14)*('Calc - SA'!$A$4 - 'Calc - SA'!$A$14) )</f>
        <v>#REF!</v>
      </c>
      <c r="M18" s="122" t="str">
        <f>(  ('Calc - SA'!$A$4*'Calc - SA'!M$14 - 'Calc - SA'!M$4*'Calc - SA'!$A$14)*( 'Calc - SA'!$A$4 - 'Calc - SA'!$A$14) - ('Calc - SA'!$A$4 - 'Calc - SA'!$A$14)*('Calc - SA'!$A$4*'Calc - SA'!$Q$14 - 'Calc - SA'!$Q$4*'Calc - SA'!$A$14)  )  /  ( ('Calc - SA'!$A$4 - 'Calc - SA'!$A$14)*('Calc - SA'!$Q$4 - 'Calc - SA'!$Q$14) - ('Calc - SA'!M$4 - 'Calc - SA'!M$14)*('Calc - SA'!$A$4 - 'Calc - SA'!$A$14) )</f>
        <v>#REF!</v>
      </c>
      <c r="N18" s="122" t="str">
        <f>(  ('Calc - SA'!$A$4*'Calc - SA'!N$14 - 'Calc - SA'!N$4*'Calc - SA'!$A$14)*( 'Calc - SA'!$A$4 - 'Calc - SA'!$A$14) - ('Calc - SA'!$A$4 - 'Calc - SA'!$A$14)*('Calc - SA'!$A$4*'Calc - SA'!$Q$14 - 'Calc - SA'!$Q$4*'Calc - SA'!$A$14)  )  /  ( ('Calc - SA'!$A$4 - 'Calc - SA'!$A$14)*('Calc - SA'!$Q$4 - 'Calc - SA'!$Q$14) - ('Calc - SA'!N$4 - 'Calc - SA'!N$14)*('Calc - SA'!$A$4 - 'Calc - SA'!$A$14) )</f>
        <v>#REF!</v>
      </c>
      <c r="O18" s="122" t="str">
        <f>(  ('Calc - SA'!$A$4*'Calc - SA'!O$14 - 'Calc - SA'!O$4*'Calc - SA'!$A$14)*( 'Calc - SA'!$A$4 - 'Calc - SA'!$A$14) - ('Calc - SA'!$A$4 - 'Calc - SA'!$A$14)*('Calc - SA'!$A$4*'Calc - SA'!$Q$14 - 'Calc - SA'!$Q$4*'Calc - SA'!$A$14)  )  /  ( ('Calc - SA'!$A$4 - 'Calc - SA'!$A$14)*('Calc - SA'!$Q$4 - 'Calc - SA'!$Q$14) - ('Calc - SA'!O$4 - 'Calc - SA'!O$14)*('Calc - SA'!$A$4 - 'Calc - SA'!$A$14) )</f>
        <v>#REF!</v>
      </c>
      <c r="P18" s="122" t="str">
        <f>(  ('Calc - SA'!$A$4*'Calc - SA'!P$14 - 'Calc - SA'!P$4*'Calc - SA'!$A$14)*( 'Calc - SA'!$A$4 - 'Calc - SA'!$A$14) - ('Calc - SA'!$A$4 - 'Calc - SA'!$A$14)*('Calc - SA'!$A$4*'Calc - SA'!$Q$14 - 'Calc - SA'!$Q$4*'Calc - SA'!$A$14)  )  /  ( ('Calc - SA'!$A$4 - 'Calc - SA'!$A$14)*('Calc - SA'!$Q$4 - 'Calc - SA'!$Q$14) - ('Calc - SA'!P$4 - 'Calc - SA'!P$14)*('Calc - SA'!$A$4 - 'Calc - SA'!$A$14) )</f>
        <v>#REF!</v>
      </c>
      <c r="Q18" s="121"/>
      <c r="R18" s="121"/>
      <c r="S18" s="121"/>
      <c r="T18" s="121"/>
      <c r="U18" s="121"/>
      <c r="V18" s="121"/>
      <c r="W18" s="121"/>
      <c r="X18" s="121"/>
      <c r="Y18" s="121"/>
      <c r="Z18" s="121"/>
    </row>
    <row r="19" ht="14.25" customHeight="1">
      <c r="A19" s="119" t="str">
        <f t="shared" si="4"/>
        <v>#REF!</v>
      </c>
      <c r="B19" s="122" t="str">
        <f>(  ('Calc - SA'!$A$4*'Calc - SA'!B$14 - 'Calc - SA'!B$4*'Calc - SA'!$A$14)*( 'Calc - SA'!$A$4 - 'Calc - SA'!$A$14) - ('Calc - SA'!$A$4 - 'Calc - SA'!$A$14)*('Calc - SA'!$A$4*'Calc - SA'!$R$14 - 'Calc - SA'!$R$4*'Calc - SA'!$A$14)  )  /  ( ('Calc - SA'!$A$4 - 'Calc - SA'!$A$14)*('Calc - SA'!$R$4 - 'Calc - SA'!$R$14) - ('Calc - SA'!B$4 - 'Calc - SA'!B$14)*('Calc - SA'!$A$4 - 'Calc - SA'!$A$14) )</f>
        <v>#REF!</v>
      </c>
      <c r="C19" s="122" t="str">
        <f>(  ('Calc - SA'!$A$4*'Calc - SA'!C$14 - 'Calc - SA'!C$4*'Calc - SA'!$A$14)*( 'Calc - SA'!$A$4 - 'Calc - SA'!$A$14) - ('Calc - SA'!$A$4 - 'Calc - SA'!$A$14)*('Calc - SA'!$A$4*'Calc - SA'!$R$14 - 'Calc - SA'!$R$4*'Calc - SA'!$A$14)  )  /  ( ('Calc - SA'!$A$4 - 'Calc - SA'!$A$14)*('Calc - SA'!$R$4 - 'Calc - SA'!$R$14) - ('Calc - SA'!C$4 - 'Calc - SA'!C$14)*('Calc - SA'!$A$4 - 'Calc - SA'!$A$14) )</f>
        <v>#REF!</v>
      </c>
      <c r="D19" s="122" t="str">
        <f>(  ('Calc - SA'!$A$4*'Calc - SA'!D$14 - 'Calc - SA'!D$4*'Calc - SA'!$A$14)*( 'Calc - SA'!$A$4 - 'Calc - SA'!$A$14) - ('Calc - SA'!$A$4 - 'Calc - SA'!$A$14)*('Calc - SA'!$A$4*'Calc - SA'!$R$14 - 'Calc - SA'!$R$4*'Calc - SA'!$A$14)  )  /  ( ('Calc - SA'!$A$4 - 'Calc - SA'!$A$14)*('Calc - SA'!$R$4 - 'Calc - SA'!$R$14) - ('Calc - SA'!D$4 - 'Calc - SA'!D$14)*('Calc - SA'!$A$4 - 'Calc - SA'!$A$14) )</f>
        <v>#REF!</v>
      </c>
      <c r="E19" s="122" t="str">
        <f>(  ('Calc - SA'!$A$4*'Calc - SA'!E$14 - 'Calc - SA'!E$4*'Calc - SA'!$A$14)*( 'Calc - SA'!$A$4 - 'Calc - SA'!$A$14) - ('Calc - SA'!$A$4 - 'Calc - SA'!$A$14)*('Calc - SA'!$A$4*'Calc - SA'!$R$14 - 'Calc - SA'!$R$4*'Calc - SA'!$A$14)  )  /  ( ('Calc - SA'!$A$4 - 'Calc - SA'!$A$14)*('Calc - SA'!$R$4 - 'Calc - SA'!$R$14) - ('Calc - SA'!E$4 - 'Calc - SA'!E$14)*('Calc - SA'!$A$4 - 'Calc - SA'!$A$14) )</f>
        <v>#REF!</v>
      </c>
      <c r="F19" s="122" t="str">
        <f>(  ('Calc - SA'!$A$4*'Calc - SA'!F$14 - 'Calc - SA'!F$4*'Calc - SA'!$A$14)*( 'Calc - SA'!$A$4 - 'Calc - SA'!$A$14) - ('Calc - SA'!$A$4 - 'Calc - SA'!$A$14)*('Calc - SA'!$A$4*'Calc - SA'!$R$14 - 'Calc - SA'!$R$4*'Calc - SA'!$A$14)  )  /  ( ('Calc - SA'!$A$4 - 'Calc - SA'!$A$14)*('Calc - SA'!$R$4 - 'Calc - SA'!$R$14) - ('Calc - SA'!F$4 - 'Calc - SA'!F$14)*('Calc - SA'!$A$4 - 'Calc - SA'!$A$14) )</f>
        <v>#REF!</v>
      </c>
      <c r="G19" s="122" t="str">
        <f>(  ('Calc - SA'!$A$4*'Calc - SA'!G$14 - 'Calc - SA'!G$4*'Calc - SA'!$A$14)*( 'Calc - SA'!$A$4 - 'Calc - SA'!$A$14) - ('Calc - SA'!$A$4 - 'Calc - SA'!$A$14)*('Calc - SA'!$A$4*'Calc - SA'!$R$14 - 'Calc - SA'!$R$4*'Calc - SA'!$A$14)  )  /  ( ('Calc - SA'!$A$4 - 'Calc - SA'!$A$14)*('Calc - SA'!$R$4 - 'Calc - SA'!$R$14) - ('Calc - SA'!G$4 - 'Calc - SA'!G$14)*('Calc - SA'!$A$4 - 'Calc - SA'!$A$14) )</f>
        <v>#REF!</v>
      </c>
      <c r="H19" s="122" t="str">
        <f>(  ('Calc - SA'!$A$4*'Calc - SA'!H$14 - 'Calc - SA'!H$4*'Calc - SA'!$A$14)*( 'Calc - SA'!$A$4 - 'Calc - SA'!$A$14) - ('Calc - SA'!$A$4 - 'Calc - SA'!$A$14)*('Calc - SA'!$A$4*'Calc - SA'!$R$14 - 'Calc - SA'!$R$4*'Calc - SA'!$A$14)  )  /  ( ('Calc - SA'!$A$4 - 'Calc - SA'!$A$14)*('Calc - SA'!$R$4 - 'Calc - SA'!$R$14) - ('Calc - SA'!H$4 - 'Calc - SA'!H$14)*('Calc - SA'!$A$4 - 'Calc - SA'!$A$14) )</f>
        <v>#REF!</v>
      </c>
      <c r="I19" s="122" t="str">
        <f>(  ('Calc - SA'!$A$4*'Calc - SA'!I$14 - 'Calc - SA'!I$4*'Calc - SA'!$A$14)*( 'Calc - SA'!$A$4 - 'Calc - SA'!$A$14) - ('Calc - SA'!$A$4 - 'Calc - SA'!$A$14)*('Calc - SA'!$A$4*'Calc - SA'!$R$14 - 'Calc - SA'!$R$4*'Calc - SA'!$A$14)  )  /  ( ('Calc - SA'!$A$4 - 'Calc - SA'!$A$14)*('Calc - SA'!$R$4 - 'Calc - SA'!$R$14) - ('Calc - SA'!I$4 - 'Calc - SA'!I$14)*('Calc - SA'!$A$4 - 'Calc - SA'!$A$14) )</f>
        <v>#REF!</v>
      </c>
      <c r="J19" s="122" t="str">
        <f>(  ('Calc - SA'!$A$4*'Calc - SA'!J$14 - 'Calc - SA'!J$4*'Calc - SA'!$A$14)*( 'Calc - SA'!$A$4 - 'Calc - SA'!$A$14) - ('Calc - SA'!$A$4 - 'Calc - SA'!$A$14)*('Calc - SA'!$A$4*'Calc - SA'!$R$14 - 'Calc - SA'!$R$4*'Calc - SA'!$A$14)  )  /  ( ('Calc - SA'!$A$4 - 'Calc - SA'!$A$14)*('Calc - SA'!$R$4 - 'Calc - SA'!$R$14) - ('Calc - SA'!J$4 - 'Calc - SA'!J$14)*('Calc - SA'!$A$4 - 'Calc - SA'!$A$14) )</f>
        <v>#REF!</v>
      </c>
      <c r="K19" s="122" t="str">
        <f>(  ('Calc - SA'!$A$4*'Calc - SA'!K$14 - 'Calc - SA'!K$4*'Calc - SA'!$A$14)*( 'Calc - SA'!$A$4 - 'Calc - SA'!$A$14) - ('Calc - SA'!$A$4 - 'Calc - SA'!$A$14)*('Calc - SA'!$A$4*'Calc - SA'!$R$14 - 'Calc - SA'!$R$4*'Calc - SA'!$A$14)  )  /  ( ('Calc - SA'!$A$4 - 'Calc - SA'!$A$14)*('Calc - SA'!$R$4 - 'Calc - SA'!$R$14) - ('Calc - SA'!K$4 - 'Calc - SA'!K$14)*('Calc - SA'!$A$4 - 'Calc - SA'!$A$14) )</f>
        <v>#REF!</v>
      </c>
      <c r="L19" s="122" t="str">
        <f>(  ('Calc - SA'!$A$4*'Calc - SA'!L$14 - 'Calc - SA'!L$4*'Calc - SA'!$A$14)*( 'Calc - SA'!$A$4 - 'Calc - SA'!$A$14) - ('Calc - SA'!$A$4 - 'Calc - SA'!$A$14)*('Calc - SA'!$A$4*'Calc - SA'!$R$14 - 'Calc - SA'!$R$4*'Calc - SA'!$A$14)  )  /  ( ('Calc - SA'!$A$4 - 'Calc - SA'!$A$14)*('Calc - SA'!$R$4 - 'Calc - SA'!$R$14) - ('Calc - SA'!L$4 - 'Calc - SA'!L$14)*('Calc - SA'!$A$4 - 'Calc - SA'!$A$14) )</f>
        <v>#REF!</v>
      </c>
      <c r="M19" s="122" t="str">
        <f>(  ('Calc - SA'!$A$4*'Calc - SA'!M$14 - 'Calc - SA'!M$4*'Calc - SA'!$A$14)*( 'Calc - SA'!$A$4 - 'Calc - SA'!$A$14) - ('Calc - SA'!$A$4 - 'Calc - SA'!$A$14)*('Calc - SA'!$A$4*'Calc - SA'!$R$14 - 'Calc - SA'!$R$4*'Calc - SA'!$A$14)  )  /  ( ('Calc - SA'!$A$4 - 'Calc - SA'!$A$14)*('Calc - SA'!$R$4 - 'Calc - SA'!$R$14) - ('Calc - SA'!M$4 - 'Calc - SA'!M$14)*('Calc - SA'!$A$4 - 'Calc - SA'!$A$14) )</f>
        <v>#REF!</v>
      </c>
      <c r="N19" s="122" t="str">
        <f>(  ('Calc - SA'!$A$4*'Calc - SA'!N$14 - 'Calc - SA'!N$4*'Calc - SA'!$A$14)*( 'Calc - SA'!$A$4 - 'Calc - SA'!$A$14) - ('Calc - SA'!$A$4 - 'Calc - SA'!$A$14)*('Calc - SA'!$A$4*'Calc - SA'!$R$14 - 'Calc - SA'!$R$4*'Calc - SA'!$A$14)  )  /  ( ('Calc - SA'!$A$4 - 'Calc - SA'!$A$14)*('Calc - SA'!$R$4 - 'Calc - SA'!$R$14) - ('Calc - SA'!N$4 - 'Calc - SA'!N$14)*('Calc - SA'!$A$4 - 'Calc - SA'!$A$14) )</f>
        <v>#REF!</v>
      </c>
      <c r="O19" s="122" t="str">
        <f>(  ('Calc - SA'!$A$4*'Calc - SA'!O$14 - 'Calc - SA'!O$4*'Calc - SA'!$A$14)*( 'Calc - SA'!$A$4 - 'Calc - SA'!$A$14) - ('Calc - SA'!$A$4 - 'Calc - SA'!$A$14)*('Calc - SA'!$A$4*'Calc - SA'!$R$14 - 'Calc - SA'!$R$4*'Calc - SA'!$A$14)  )  /  ( ('Calc - SA'!$A$4 - 'Calc - SA'!$A$14)*('Calc - SA'!$R$4 - 'Calc - SA'!$R$14) - ('Calc - SA'!O$4 - 'Calc - SA'!O$14)*('Calc - SA'!$A$4 - 'Calc - SA'!$A$14) )</f>
        <v>#REF!</v>
      </c>
      <c r="P19" s="122" t="str">
        <f>(  ('Calc - SA'!$A$4*'Calc - SA'!P$14 - 'Calc - SA'!P$4*'Calc - SA'!$A$14)*( 'Calc - SA'!$A$4 - 'Calc - SA'!$A$14) - ('Calc - SA'!$A$4 - 'Calc - SA'!$A$14)*('Calc - SA'!$A$4*'Calc - SA'!$R$14 - 'Calc - SA'!$R$4*'Calc - SA'!$A$14)  )  /  ( ('Calc - SA'!$A$4 - 'Calc - SA'!$A$14)*('Calc - SA'!$R$4 - 'Calc - SA'!$R$14) - ('Calc - SA'!P$4 - 'Calc - SA'!P$14)*('Calc - SA'!$A$4 - 'Calc - SA'!$A$14) )</f>
        <v>#REF!</v>
      </c>
      <c r="Q19" s="122" t="str">
        <f>(  ('Calc - SA'!$A$4*'Calc - SA'!Q$14 - 'Calc - SA'!Q$4*'Calc - SA'!$A$14)*( 'Calc - SA'!$A$4 - 'Calc - SA'!$A$14) - ('Calc - SA'!$A$4 - 'Calc - SA'!$A$14)*('Calc - SA'!$A$4*'Calc - SA'!$R$14 - 'Calc - SA'!$R$4*'Calc - SA'!$A$14)  )  /  ( ('Calc - SA'!$A$4 - 'Calc - SA'!$A$14)*('Calc - SA'!$R$4 - 'Calc - SA'!$R$14) - ('Calc - SA'!Q$4 - 'Calc - SA'!Q$14)*('Calc - SA'!$A$4 - 'Calc - SA'!$A$14) )</f>
        <v>#REF!</v>
      </c>
      <c r="R19" s="121"/>
      <c r="S19" s="121"/>
      <c r="T19" s="121"/>
      <c r="U19" s="121"/>
      <c r="V19" s="121"/>
      <c r="W19" s="121"/>
      <c r="X19" s="121"/>
      <c r="Y19" s="121"/>
      <c r="Z19" s="121"/>
    </row>
    <row r="20" ht="14.25" customHeight="1">
      <c r="A20" s="119" t="str">
        <f t="shared" si="4"/>
        <v>#REF!</v>
      </c>
      <c r="B20" s="122" t="str">
        <f>(  ('Calc - SA'!$A$4*'Calc - SA'!B$14 - 'Calc - SA'!B$4*'Calc - SA'!$A$14)*( 'Calc - SA'!$A$4 - 'Calc - SA'!$A$14) - ('Calc - SA'!$A$4 - 'Calc - SA'!$A$14)*('Calc - SA'!$A$4*'Calc - SA'!$S$14 - 'Calc - SA'!$S$4*'Calc - SA'!$A$14)  )  /  ( ('Calc - SA'!$A$4 - 'Calc - SA'!$A$14)*('Calc - SA'!$S$4 - 'Calc - SA'!$S$14) - ('Calc - SA'!B$4 - 'Calc - SA'!B$14)*('Calc - SA'!$A$4 - 'Calc - SA'!$A$14) )</f>
        <v>#REF!</v>
      </c>
      <c r="C20" s="122" t="str">
        <f>(  ('Calc - SA'!$A$4*'Calc - SA'!C$14 - 'Calc - SA'!C$4*'Calc - SA'!$A$14)*( 'Calc - SA'!$A$4 - 'Calc - SA'!$A$14) - ('Calc - SA'!$A$4 - 'Calc - SA'!$A$14)*('Calc - SA'!$A$4*'Calc - SA'!$S$14 - 'Calc - SA'!$S$4*'Calc - SA'!$A$14)  )  /  ( ('Calc - SA'!$A$4 - 'Calc - SA'!$A$14)*('Calc - SA'!$S$4 - 'Calc - SA'!$S$14) - ('Calc - SA'!C$4 - 'Calc - SA'!C$14)*('Calc - SA'!$A$4 - 'Calc - SA'!$A$14) )</f>
        <v>#REF!</v>
      </c>
      <c r="D20" s="122" t="str">
        <f>(  ('Calc - SA'!$A$4*'Calc - SA'!D$14 - 'Calc - SA'!D$4*'Calc - SA'!$A$14)*( 'Calc - SA'!$A$4 - 'Calc - SA'!$A$14) - ('Calc - SA'!$A$4 - 'Calc - SA'!$A$14)*('Calc - SA'!$A$4*'Calc - SA'!$S$14 - 'Calc - SA'!$S$4*'Calc - SA'!$A$14)  )  /  ( ('Calc - SA'!$A$4 - 'Calc - SA'!$A$14)*('Calc - SA'!$S$4 - 'Calc - SA'!$S$14) - ('Calc - SA'!D$4 - 'Calc - SA'!D$14)*('Calc - SA'!$A$4 - 'Calc - SA'!$A$14) )</f>
        <v>#REF!</v>
      </c>
      <c r="E20" s="122" t="str">
        <f>(  ('Calc - SA'!$A$4*'Calc - SA'!E$14 - 'Calc - SA'!E$4*'Calc - SA'!$A$14)*( 'Calc - SA'!$A$4 - 'Calc - SA'!$A$14) - ('Calc - SA'!$A$4 - 'Calc - SA'!$A$14)*('Calc - SA'!$A$4*'Calc - SA'!$S$14 - 'Calc - SA'!$S$4*'Calc - SA'!$A$14)  )  /  ( ('Calc - SA'!$A$4 - 'Calc - SA'!$A$14)*('Calc - SA'!$S$4 - 'Calc - SA'!$S$14) - ('Calc - SA'!E$4 - 'Calc - SA'!E$14)*('Calc - SA'!$A$4 - 'Calc - SA'!$A$14) )</f>
        <v>#REF!</v>
      </c>
      <c r="F20" s="122" t="str">
        <f>(  ('Calc - SA'!$A$4*'Calc - SA'!F$14 - 'Calc - SA'!F$4*'Calc - SA'!$A$14)*( 'Calc - SA'!$A$4 - 'Calc - SA'!$A$14) - ('Calc - SA'!$A$4 - 'Calc - SA'!$A$14)*('Calc - SA'!$A$4*'Calc - SA'!$S$14 - 'Calc - SA'!$S$4*'Calc - SA'!$A$14)  )  /  ( ('Calc - SA'!$A$4 - 'Calc - SA'!$A$14)*('Calc - SA'!$S$4 - 'Calc - SA'!$S$14) - ('Calc - SA'!F$4 - 'Calc - SA'!F$14)*('Calc - SA'!$A$4 - 'Calc - SA'!$A$14) )</f>
        <v>#REF!</v>
      </c>
      <c r="G20" s="122" t="str">
        <f>(  ('Calc - SA'!$A$4*'Calc - SA'!G$14 - 'Calc - SA'!G$4*'Calc - SA'!$A$14)*( 'Calc - SA'!$A$4 - 'Calc - SA'!$A$14) - ('Calc - SA'!$A$4 - 'Calc - SA'!$A$14)*('Calc - SA'!$A$4*'Calc - SA'!$S$14 - 'Calc - SA'!$S$4*'Calc - SA'!$A$14)  )  /  ( ('Calc - SA'!$A$4 - 'Calc - SA'!$A$14)*('Calc - SA'!$S$4 - 'Calc - SA'!$S$14) - ('Calc - SA'!G$4 - 'Calc - SA'!G$14)*('Calc - SA'!$A$4 - 'Calc - SA'!$A$14) )</f>
        <v>#REF!</v>
      </c>
      <c r="H20" s="122" t="str">
        <f>(  ('Calc - SA'!$A$4*'Calc - SA'!H$14 - 'Calc - SA'!H$4*'Calc - SA'!$A$14)*( 'Calc - SA'!$A$4 - 'Calc - SA'!$A$14) - ('Calc - SA'!$A$4 - 'Calc - SA'!$A$14)*('Calc - SA'!$A$4*'Calc - SA'!$S$14 - 'Calc - SA'!$S$4*'Calc - SA'!$A$14)  )  /  ( ('Calc - SA'!$A$4 - 'Calc - SA'!$A$14)*('Calc - SA'!$S$4 - 'Calc - SA'!$S$14) - ('Calc - SA'!H$4 - 'Calc - SA'!H$14)*('Calc - SA'!$A$4 - 'Calc - SA'!$A$14) )</f>
        <v>#REF!</v>
      </c>
      <c r="I20" s="122" t="str">
        <f>(  ('Calc - SA'!$A$4*'Calc - SA'!I$14 - 'Calc - SA'!I$4*'Calc - SA'!$A$14)*( 'Calc - SA'!$A$4 - 'Calc - SA'!$A$14) - ('Calc - SA'!$A$4 - 'Calc - SA'!$A$14)*('Calc - SA'!$A$4*'Calc - SA'!$S$14 - 'Calc - SA'!$S$4*'Calc - SA'!$A$14)  )  /  ( ('Calc - SA'!$A$4 - 'Calc - SA'!$A$14)*('Calc - SA'!$S$4 - 'Calc - SA'!$S$14) - ('Calc - SA'!I$4 - 'Calc - SA'!I$14)*('Calc - SA'!$A$4 - 'Calc - SA'!$A$14) )</f>
        <v>#REF!</v>
      </c>
      <c r="J20" s="122" t="str">
        <f>(  ('Calc - SA'!$A$4*'Calc - SA'!J$14 - 'Calc - SA'!J$4*'Calc - SA'!$A$14)*( 'Calc - SA'!$A$4 - 'Calc - SA'!$A$14) - ('Calc - SA'!$A$4 - 'Calc - SA'!$A$14)*('Calc - SA'!$A$4*'Calc - SA'!$S$14 - 'Calc - SA'!$S$4*'Calc - SA'!$A$14)  )  /  ( ('Calc - SA'!$A$4 - 'Calc - SA'!$A$14)*('Calc - SA'!$S$4 - 'Calc - SA'!$S$14) - ('Calc - SA'!J$4 - 'Calc - SA'!J$14)*('Calc - SA'!$A$4 - 'Calc - SA'!$A$14) )</f>
        <v>#REF!</v>
      </c>
      <c r="K20" s="122" t="str">
        <f>(  ('Calc - SA'!$A$4*'Calc - SA'!K$14 - 'Calc - SA'!K$4*'Calc - SA'!$A$14)*( 'Calc - SA'!$A$4 - 'Calc - SA'!$A$14) - ('Calc - SA'!$A$4 - 'Calc - SA'!$A$14)*('Calc - SA'!$A$4*'Calc - SA'!$S$14 - 'Calc - SA'!$S$4*'Calc - SA'!$A$14)  )  /  ( ('Calc - SA'!$A$4 - 'Calc - SA'!$A$14)*('Calc - SA'!$S$4 - 'Calc - SA'!$S$14) - ('Calc - SA'!K$4 - 'Calc - SA'!K$14)*('Calc - SA'!$A$4 - 'Calc - SA'!$A$14) )</f>
        <v>#REF!</v>
      </c>
      <c r="L20" s="122" t="str">
        <f>(  ('Calc - SA'!$A$4*'Calc - SA'!L$14 - 'Calc - SA'!L$4*'Calc - SA'!$A$14)*( 'Calc - SA'!$A$4 - 'Calc - SA'!$A$14) - ('Calc - SA'!$A$4 - 'Calc - SA'!$A$14)*('Calc - SA'!$A$4*'Calc - SA'!$S$14 - 'Calc - SA'!$S$4*'Calc - SA'!$A$14)  )  /  ( ('Calc - SA'!$A$4 - 'Calc - SA'!$A$14)*('Calc - SA'!$S$4 - 'Calc - SA'!$S$14) - ('Calc - SA'!L$4 - 'Calc - SA'!L$14)*('Calc - SA'!$A$4 - 'Calc - SA'!$A$14) )</f>
        <v>#REF!</v>
      </c>
      <c r="M20" s="122" t="str">
        <f>(  ('Calc - SA'!$A$4*'Calc - SA'!M$14 - 'Calc - SA'!M$4*'Calc - SA'!$A$14)*( 'Calc - SA'!$A$4 - 'Calc - SA'!$A$14) - ('Calc - SA'!$A$4 - 'Calc - SA'!$A$14)*('Calc - SA'!$A$4*'Calc - SA'!$S$14 - 'Calc - SA'!$S$4*'Calc - SA'!$A$14)  )  /  ( ('Calc - SA'!$A$4 - 'Calc - SA'!$A$14)*('Calc - SA'!$S$4 - 'Calc - SA'!$S$14) - ('Calc - SA'!M$4 - 'Calc - SA'!M$14)*('Calc - SA'!$A$4 - 'Calc - SA'!$A$14) )</f>
        <v>#REF!</v>
      </c>
      <c r="N20" s="122" t="str">
        <f>(  ('Calc - SA'!$A$4*'Calc - SA'!N$14 - 'Calc - SA'!N$4*'Calc - SA'!$A$14)*( 'Calc - SA'!$A$4 - 'Calc - SA'!$A$14) - ('Calc - SA'!$A$4 - 'Calc - SA'!$A$14)*('Calc - SA'!$A$4*'Calc - SA'!$S$14 - 'Calc - SA'!$S$4*'Calc - SA'!$A$14)  )  /  ( ('Calc - SA'!$A$4 - 'Calc - SA'!$A$14)*('Calc - SA'!$S$4 - 'Calc - SA'!$S$14) - ('Calc - SA'!N$4 - 'Calc - SA'!N$14)*('Calc - SA'!$A$4 - 'Calc - SA'!$A$14) )</f>
        <v>#REF!</v>
      </c>
      <c r="O20" s="122" t="str">
        <f>(  ('Calc - SA'!$A$4*'Calc - SA'!O$14 - 'Calc - SA'!O$4*'Calc - SA'!$A$14)*( 'Calc - SA'!$A$4 - 'Calc - SA'!$A$14) - ('Calc - SA'!$A$4 - 'Calc - SA'!$A$14)*('Calc - SA'!$A$4*'Calc - SA'!$S$14 - 'Calc - SA'!$S$4*'Calc - SA'!$A$14)  )  /  ( ('Calc - SA'!$A$4 - 'Calc - SA'!$A$14)*('Calc - SA'!$S$4 - 'Calc - SA'!$S$14) - ('Calc - SA'!O$4 - 'Calc - SA'!O$14)*('Calc - SA'!$A$4 - 'Calc - SA'!$A$14) )</f>
        <v>#REF!</v>
      </c>
      <c r="P20" s="122" t="str">
        <f>(  ('Calc - SA'!$A$4*'Calc - SA'!P$14 - 'Calc - SA'!P$4*'Calc - SA'!$A$14)*( 'Calc - SA'!$A$4 - 'Calc - SA'!$A$14) - ('Calc - SA'!$A$4 - 'Calc - SA'!$A$14)*('Calc - SA'!$A$4*'Calc - SA'!$S$14 - 'Calc - SA'!$S$4*'Calc - SA'!$A$14)  )  /  ( ('Calc - SA'!$A$4 - 'Calc - SA'!$A$14)*('Calc - SA'!$S$4 - 'Calc - SA'!$S$14) - ('Calc - SA'!P$4 - 'Calc - SA'!P$14)*('Calc - SA'!$A$4 - 'Calc - SA'!$A$14) )</f>
        <v>#REF!</v>
      </c>
      <c r="Q20" s="122" t="str">
        <f>(  ('Calc - SA'!$A$4*'Calc - SA'!Q$14 - 'Calc - SA'!Q$4*'Calc - SA'!$A$14)*( 'Calc - SA'!$A$4 - 'Calc - SA'!$A$14) - ('Calc - SA'!$A$4 - 'Calc - SA'!$A$14)*('Calc - SA'!$A$4*'Calc - SA'!$S$14 - 'Calc - SA'!$S$4*'Calc - SA'!$A$14)  )  /  ( ('Calc - SA'!$A$4 - 'Calc - SA'!$A$14)*('Calc - SA'!$S$4 - 'Calc - SA'!$S$14) - ('Calc - SA'!Q$4 - 'Calc - SA'!Q$14)*('Calc - SA'!$A$4 - 'Calc - SA'!$A$14) )</f>
        <v>#REF!</v>
      </c>
      <c r="R20" s="122" t="str">
        <f>(  ('Calc - SA'!$A$4*'Calc - SA'!R$14 - 'Calc - SA'!R$4*'Calc - SA'!$A$14)*( 'Calc - SA'!$A$4 - 'Calc - SA'!$A$14) - ('Calc - SA'!$A$4 - 'Calc - SA'!$A$14)*('Calc - SA'!$A$4*'Calc - SA'!$S$14 - 'Calc - SA'!$S$4*'Calc - SA'!$A$14)  )  /  ( ('Calc - SA'!$A$4 - 'Calc - SA'!$A$14)*('Calc - SA'!$S$4 - 'Calc - SA'!$S$14) - ('Calc - SA'!R$4 - 'Calc - SA'!R$14)*('Calc - SA'!$A$4 - 'Calc - SA'!$A$14) )</f>
        <v>#REF!</v>
      </c>
      <c r="S20" s="121"/>
      <c r="T20" s="121"/>
      <c r="U20" s="121"/>
      <c r="V20" s="121"/>
      <c r="W20" s="121"/>
      <c r="X20" s="121"/>
      <c r="Y20" s="121"/>
      <c r="Z20" s="121"/>
    </row>
    <row r="21" ht="14.25" customHeight="1">
      <c r="A21" s="119" t="str">
        <f t="shared" si="4"/>
        <v>#REF!</v>
      </c>
      <c r="B21" s="122" t="str">
        <f>(  ('Calc - SA'!$A$4*'Calc - SA'!B$14 - 'Calc - SA'!B$4*'Calc - SA'!$A$14)*( 'Calc - SA'!$A$4 - 'Calc - SA'!$A$14) - ('Calc - SA'!$A$4 - 'Calc - SA'!$A$14)*('Calc - SA'!$A$4*'Calc - SA'!$T$14 - 'Calc - SA'!$T$4*'Calc - SA'!$A$14)  )  /  ( ('Calc - SA'!$A$4 - 'Calc - SA'!$A$14)*('Calc - SA'!$T$4 - 'Calc - SA'!$T$14) - ('Calc - SA'!B$4 - 'Calc - SA'!B$14)*('Calc - SA'!$A$4 - 'Calc - SA'!$A$14) )</f>
        <v>#REF!</v>
      </c>
      <c r="C21" s="122" t="str">
        <f>(  ('Calc - SA'!$A$4*'Calc - SA'!C$14 - 'Calc - SA'!C$4*'Calc - SA'!$A$14)*( 'Calc - SA'!$A$4 - 'Calc - SA'!$A$14) - ('Calc - SA'!$A$4 - 'Calc - SA'!$A$14)*('Calc - SA'!$A$4*'Calc - SA'!$T$14 - 'Calc - SA'!$T$4*'Calc - SA'!$A$14)  )  /  ( ('Calc - SA'!$A$4 - 'Calc - SA'!$A$14)*('Calc - SA'!$T$4 - 'Calc - SA'!$T$14) - ('Calc - SA'!C$4 - 'Calc - SA'!C$14)*('Calc - SA'!$A$4 - 'Calc - SA'!$A$14) )</f>
        <v>#REF!</v>
      </c>
      <c r="D21" s="122" t="str">
        <f>(  ('Calc - SA'!$A$4*'Calc - SA'!D$14 - 'Calc - SA'!D$4*'Calc - SA'!$A$14)*( 'Calc - SA'!$A$4 - 'Calc - SA'!$A$14) - ('Calc - SA'!$A$4 - 'Calc - SA'!$A$14)*('Calc - SA'!$A$4*'Calc - SA'!$T$14 - 'Calc - SA'!$T$4*'Calc - SA'!$A$14)  )  /  ( ('Calc - SA'!$A$4 - 'Calc - SA'!$A$14)*('Calc - SA'!$T$4 - 'Calc - SA'!$T$14) - ('Calc - SA'!D$4 - 'Calc - SA'!D$14)*('Calc - SA'!$A$4 - 'Calc - SA'!$A$14) )</f>
        <v>#REF!</v>
      </c>
      <c r="E21" s="122" t="str">
        <f>(  ('Calc - SA'!$A$4*'Calc - SA'!E$14 - 'Calc - SA'!E$4*'Calc - SA'!$A$14)*( 'Calc - SA'!$A$4 - 'Calc - SA'!$A$14) - ('Calc - SA'!$A$4 - 'Calc - SA'!$A$14)*('Calc - SA'!$A$4*'Calc - SA'!$T$14 - 'Calc - SA'!$T$4*'Calc - SA'!$A$14)  )  /  ( ('Calc - SA'!$A$4 - 'Calc - SA'!$A$14)*('Calc - SA'!$T$4 - 'Calc - SA'!$T$14) - ('Calc - SA'!E$4 - 'Calc - SA'!E$14)*('Calc - SA'!$A$4 - 'Calc - SA'!$A$14) )</f>
        <v>#REF!</v>
      </c>
      <c r="F21" s="122" t="str">
        <f>(  ('Calc - SA'!$A$4*'Calc - SA'!F$14 - 'Calc - SA'!F$4*'Calc - SA'!$A$14)*( 'Calc - SA'!$A$4 - 'Calc - SA'!$A$14) - ('Calc - SA'!$A$4 - 'Calc - SA'!$A$14)*('Calc - SA'!$A$4*'Calc - SA'!$T$14 - 'Calc - SA'!$T$4*'Calc - SA'!$A$14)  )  /  ( ('Calc - SA'!$A$4 - 'Calc - SA'!$A$14)*('Calc - SA'!$T$4 - 'Calc - SA'!$T$14) - ('Calc - SA'!F$4 - 'Calc - SA'!F$14)*('Calc - SA'!$A$4 - 'Calc - SA'!$A$14) )</f>
        <v>#REF!</v>
      </c>
      <c r="G21" s="122" t="str">
        <f>(  ('Calc - SA'!$A$4*'Calc - SA'!G$14 - 'Calc - SA'!G$4*'Calc - SA'!$A$14)*( 'Calc - SA'!$A$4 - 'Calc - SA'!$A$14) - ('Calc - SA'!$A$4 - 'Calc - SA'!$A$14)*('Calc - SA'!$A$4*'Calc - SA'!$T$14 - 'Calc - SA'!$T$4*'Calc - SA'!$A$14)  )  /  ( ('Calc - SA'!$A$4 - 'Calc - SA'!$A$14)*('Calc - SA'!$T$4 - 'Calc - SA'!$T$14) - ('Calc - SA'!G$4 - 'Calc - SA'!G$14)*('Calc - SA'!$A$4 - 'Calc - SA'!$A$14) )</f>
        <v>#REF!</v>
      </c>
      <c r="H21" s="122" t="str">
        <f>(  ('Calc - SA'!$A$4*'Calc - SA'!H$14 - 'Calc - SA'!H$4*'Calc - SA'!$A$14)*( 'Calc - SA'!$A$4 - 'Calc - SA'!$A$14) - ('Calc - SA'!$A$4 - 'Calc - SA'!$A$14)*('Calc - SA'!$A$4*'Calc - SA'!$T$14 - 'Calc - SA'!$T$4*'Calc - SA'!$A$14)  )  /  ( ('Calc - SA'!$A$4 - 'Calc - SA'!$A$14)*('Calc - SA'!$T$4 - 'Calc - SA'!$T$14) - ('Calc - SA'!H$4 - 'Calc - SA'!H$14)*('Calc - SA'!$A$4 - 'Calc - SA'!$A$14) )</f>
        <v>#REF!</v>
      </c>
      <c r="I21" s="122" t="str">
        <f>(  ('Calc - SA'!$A$4*'Calc - SA'!I$14 - 'Calc - SA'!I$4*'Calc - SA'!$A$14)*( 'Calc - SA'!$A$4 - 'Calc - SA'!$A$14) - ('Calc - SA'!$A$4 - 'Calc - SA'!$A$14)*('Calc - SA'!$A$4*'Calc - SA'!$T$14 - 'Calc - SA'!$T$4*'Calc - SA'!$A$14)  )  /  ( ('Calc - SA'!$A$4 - 'Calc - SA'!$A$14)*('Calc - SA'!$T$4 - 'Calc - SA'!$T$14) - ('Calc - SA'!I$4 - 'Calc - SA'!I$14)*('Calc - SA'!$A$4 - 'Calc - SA'!$A$14) )</f>
        <v>#REF!</v>
      </c>
      <c r="J21" s="122" t="str">
        <f>(  ('Calc - SA'!$A$4*'Calc - SA'!J$14 - 'Calc - SA'!J$4*'Calc - SA'!$A$14)*( 'Calc - SA'!$A$4 - 'Calc - SA'!$A$14) - ('Calc - SA'!$A$4 - 'Calc - SA'!$A$14)*('Calc - SA'!$A$4*'Calc - SA'!$T$14 - 'Calc - SA'!$T$4*'Calc - SA'!$A$14)  )  /  ( ('Calc - SA'!$A$4 - 'Calc - SA'!$A$14)*('Calc - SA'!$T$4 - 'Calc - SA'!$T$14) - ('Calc - SA'!J$4 - 'Calc - SA'!J$14)*('Calc - SA'!$A$4 - 'Calc - SA'!$A$14) )</f>
        <v>#REF!</v>
      </c>
      <c r="K21" s="122" t="str">
        <f>(  ('Calc - SA'!$A$4*'Calc - SA'!K$14 - 'Calc - SA'!K$4*'Calc - SA'!$A$14)*( 'Calc - SA'!$A$4 - 'Calc - SA'!$A$14) - ('Calc - SA'!$A$4 - 'Calc - SA'!$A$14)*('Calc - SA'!$A$4*'Calc - SA'!$T$14 - 'Calc - SA'!$T$4*'Calc - SA'!$A$14)  )  /  ( ('Calc - SA'!$A$4 - 'Calc - SA'!$A$14)*('Calc - SA'!$T$4 - 'Calc - SA'!$T$14) - ('Calc - SA'!K$4 - 'Calc - SA'!K$14)*('Calc - SA'!$A$4 - 'Calc - SA'!$A$14) )</f>
        <v>#REF!</v>
      </c>
      <c r="L21" s="122" t="str">
        <f>(  ('Calc - SA'!$A$4*'Calc - SA'!L$14 - 'Calc - SA'!L$4*'Calc - SA'!$A$14)*( 'Calc - SA'!$A$4 - 'Calc - SA'!$A$14) - ('Calc - SA'!$A$4 - 'Calc - SA'!$A$14)*('Calc - SA'!$A$4*'Calc - SA'!$T$14 - 'Calc - SA'!$T$4*'Calc - SA'!$A$14)  )  /  ( ('Calc - SA'!$A$4 - 'Calc - SA'!$A$14)*('Calc - SA'!$T$4 - 'Calc - SA'!$T$14) - ('Calc - SA'!L$4 - 'Calc - SA'!L$14)*('Calc - SA'!$A$4 - 'Calc - SA'!$A$14) )</f>
        <v>#REF!</v>
      </c>
      <c r="M21" s="122" t="str">
        <f>(  ('Calc - SA'!$A$4*'Calc - SA'!M$14 - 'Calc - SA'!M$4*'Calc - SA'!$A$14)*( 'Calc - SA'!$A$4 - 'Calc - SA'!$A$14) - ('Calc - SA'!$A$4 - 'Calc - SA'!$A$14)*('Calc - SA'!$A$4*'Calc - SA'!$T$14 - 'Calc - SA'!$T$4*'Calc - SA'!$A$14)  )  /  ( ('Calc - SA'!$A$4 - 'Calc - SA'!$A$14)*('Calc - SA'!$T$4 - 'Calc - SA'!$T$14) - ('Calc - SA'!M$4 - 'Calc - SA'!M$14)*('Calc - SA'!$A$4 - 'Calc - SA'!$A$14) )</f>
        <v>#REF!</v>
      </c>
      <c r="N21" s="122" t="str">
        <f>(  ('Calc - SA'!$A$4*'Calc - SA'!N$14 - 'Calc - SA'!N$4*'Calc - SA'!$A$14)*( 'Calc - SA'!$A$4 - 'Calc - SA'!$A$14) - ('Calc - SA'!$A$4 - 'Calc - SA'!$A$14)*('Calc - SA'!$A$4*'Calc - SA'!$T$14 - 'Calc - SA'!$T$4*'Calc - SA'!$A$14)  )  /  ( ('Calc - SA'!$A$4 - 'Calc - SA'!$A$14)*('Calc - SA'!$T$4 - 'Calc - SA'!$T$14) - ('Calc - SA'!N$4 - 'Calc - SA'!N$14)*('Calc - SA'!$A$4 - 'Calc - SA'!$A$14) )</f>
        <v>#REF!</v>
      </c>
      <c r="O21" s="122" t="str">
        <f>(  ('Calc - SA'!$A$4*'Calc - SA'!O$14 - 'Calc - SA'!O$4*'Calc - SA'!$A$14)*( 'Calc - SA'!$A$4 - 'Calc - SA'!$A$14) - ('Calc - SA'!$A$4 - 'Calc - SA'!$A$14)*('Calc - SA'!$A$4*'Calc - SA'!$T$14 - 'Calc - SA'!$T$4*'Calc - SA'!$A$14)  )  /  ( ('Calc - SA'!$A$4 - 'Calc - SA'!$A$14)*('Calc - SA'!$T$4 - 'Calc - SA'!$T$14) - ('Calc - SA'!O$4 - 'Calc - SA'!O$14)*('Calc - SA'!$A$4 - 'Calc - SA'!$A$14) )</f>
        <v>#REF!</v>
      </c>
      <c r="P21" s="122" t="str">
        <f>(  ('Calc - SA'!$A$4*'Calc - SA'!P$14 - 'Calc - SA'!P$4*'Calc - SA'!$A$14)*( 'Calc - SA'!$A$4 - 'Calc - SA'!$A$14) - ('Calc - SA'!$A$4 - 'Calc - SA'!$A$14)*('Calc - SA'!$A$4*'Calc - SA'!$T$14 - 'Calc - SA'!$T$4*'Calc - SA'!$A$14)  )  /  ( ('Calc - SA'!$A$4 - 'Calc - SA'!$A$14)*('Calc - SA'!$T$4 - 'Calc - SA'!$T$14) - ('Calc - SA'!P$4 - 'Calc - SA'!P$14)*('Calc - SA'!$A$4 - 'Calc - SA'!$A$14) )</f>
        <v>#REF!</v>
      </c>
      <c r="Q21" s="122" t="str">
        <f>(  ('Calc - SA'!$A$4*'Calc - SA'!Q$14 - 'Calc - SA'!Q$4*'Calc - SA'!$A$14)*( 'Calc - SA'!$A$4 - 'Calc - SA'!$A$14) - ('Calc - SA'!$A$4 - 'Calc - SA'!$A$14)*('Calc - SA'!$A$4*'Calc - SA'!$T$14 - 'Calc - SA'!$T$4*'Calc - SA'!$A$14)  )  /  ( ('Calc - SA'!$A$4 - 'Calc - SA'!$A$14)*('Calc - SA'!$T$4 - 'Calc - SA'!$T$14) - ('Calc - SA'!Q$4 - 'Calc - SA'!Q$14)*('Calc - SA'!$A$4 - 'Calc - SA'!$A$14) )</f>
        <v>#REF!</v>
      </c>
      <c r="R21" s="122" t="str">
        <f>(  ('Calc - SA'!$A$4*'Calc - SA'!R$14 - 'Calc - SA'!R$4*'Calc - SA'!$A$14)*( 'Calc - SA'!$A$4 - 'Calc - SA'!$A$14) - ('Calc - SA'!$A$4 - 'Calc - SA'!$A$14)*('Calc - SA'!$A$4*'Calc - SA'!$T$14 - 'Calc - SA'!$T$4*'Calc - SA'!$A$14)  )  /  ( ('Calc - SA'!$A$4 - 'Calc - SA'!$A$14)*('Calc - SA'!$T$4 - 'Calc - SA'!$T$14) - ('Calc - SA'!R$4 - 'Calc - SA'!R$14)*('Calc - SA'!$A$4 - 'Calc - SA'!$A$14) )</f>
        <v>#REF!</v>
      </c>
      <c r="S21" s="122" t="str">
        <f>(  ('Calc - SA'!$A$4*'Calc - SA'!S$14 - 'Calc - SA'!S$4*'Calc - SA'!$A$14)*( 'Calc - SA'!$A$4 - 'Calc - SA'!$A$14) - ('Calc - SA'!$A$4 - 'Calc - SA'!$A$14)*('Calc - SA'!$A$4*'Calc - SA'!$T$14 - 'Calc - SA'!$T$4*'Calc - SA'!$A$14)  )  /  ( ('Calc - SA'!$A$4 - 'Calc - SA'!$A$14)*('Calc - SA'!$T$4 - 'Calc - SA'!$T$14) - ('Calc - SA'!S$4 - 'Calc - SA'!S$14)*('Calc - SA'!$A$4 - 'Calc - SA'!$A$14) )</f>
        <v>#REF!</v>
      </c>
      <c r="T21" s="121"/>
      <c r="U21" s="121"/>
      <c r="V21" s="121"/>
      <c r="W21" s="121"/>
      <c r="X21" s="121"/>
      <c r="Y21" s="121"/>
      <c r="Z21" s="121"/>
    </row>
    <row r="22" ht="14.25" customHeight="1">
      <c r="A22" s="119" t="str">
        <f t="shared" si="4"/>
        <v>#REF!</v>
      </c>
      <c r="B22" s="122" t="str">
        <f>(  ('Calc - SA'!$A$4*'Calc - SA'!B$14 - 'Calc - SA'!B$4*'Calc - SA'!$A$14)*( 'Calc - SA'!$A$4 - 'Calc - SA'!$A$14) - ('Calc - SA'!$A$4 - 'Calc - SA'!$A$14)*('Calc - SA'!$A$4*'Calc - SA'!$U$14 - 'Calc - SA'!$U$4*'Calc - SA'!$A$14)  )  /  ( ('Calc - SA'!$A$4 - 'Calc - SA'!$A$14)*('Calc - SA'!$U$4 - 'Calc - SA'!$U$14) - ('Calc - SA'!B$4 - 'Calc - SA'!B$14)*('Calc - SA'!$A$4 - 'Calc - SA'!$A$14) )</f>
        <v>#REF!</v>
      </c>
      <c r="C22" s="122" t="str">
        <f>(  ('Calc - SA'!$A$4*'Calc - SA'!C$14 - 'Calc - SA'!C$4*'Calc - SA'!$A$14)*( 'Calc - SA'!$A$4 - 'Calc - SA'!$A$14) - ('Calc - SA'!$A$4 - 'Calc - SA'!$A$14)*('Calc - SA'!$A$4*'Calc - SA'!$U$14 - 'Calc - SA'!$U$4*'Calc - SA'!$A$14)  )  /  ( ('Calc - SA'!$A$4 - 'Calc - SA'!$A$14)*('Calc - SA'!$U$4 - 'Calc - SA'!$U$14) - ('Calc - SA'!C$4 - 'Calc - SA'!C$14)*('Calc - SA'!$A$4 - 'Calc - SA'!$A$14) )</f>
        <v>#REF!</v>
      </c>
      <c r="D22" s="122" t="str">
        <f>(  ('Calc - SA'!$A$4*'Calc - SA'!D$14 - 'Calc - SA'!D$4*'Calc - SA'!$A$14)*( 'Calc - SA'!$A$4 - 'Calc - SA'!$A$14) - ('Calc - SA'!$A$4 - 'Calc - SA'!$A$14)*('Calc - SA'!$A$4*'Calc - SA'!$U$14 - 'Calc - SA'!$U$4*'Calc - SA'!$A$14)  )  /  ( ('Calc - SA'!$A$4 - 'Calc - SA'!$A$14)*('Calc - SA'!$U$4 - 'Calc - SA'!$U$14) - ('Calc - SA'!D$4 - 'Calc - SA'!D$14)*('Calc - SA'!$A$4 - 'Calc - SA'!$A$14) )</f>
        <v>#REF!</v>
      </c>
      <c r="E22" s="122" t="str">
        <f>(  ('Calc - SA'!$A$4*'Calc - SA'!E$14 - 'Calc - SA'!E$4*'Calc - SA'!$A$14)*( 'Calc - SA'!$A$4 - 'Calc - SA'!$A$14) - ('Calc - SA'!$A$4 - 'Calc - SA'!$A$14)*('Calc - SA'!$A$4*'Calc - SA'!$U$14 - 'Calc - SA'!$U$4*'Calc - SA'!$A$14)  )  /  ( ('Calc - SA'!$A$4 - 'Calc - SA'!$A$14)*('Calc - SA'!$U$4 - 'Calc - SA'!$U$14) - ('Calc - SA'!E$4 - 'Calc - SA'!E$14)*('Calc - SA'!$A$4 - 'Calc - SA'!$A$14) )</f>
        <v>#REF!</v>
      </c>
      <c r="F22" s="122" t="str">
        <f>(  ('Calc - SA'!$A$4*'Calc - SA'!F$14 - 'Calc - SA'!F$4*'Calc - SA'!$A$14)*( 'Calc - SA'!$A$4 - 'Calc - SA'!$A$14) - ('Calc - SA'!$A$4 - 'Calc - SA'!$A$14)*('Calc - SA'!$A$4*'Calc - SA'!$U$14 - 'Calc - SA'!$U$4*'Calc - SA'!$A$14)  )  /  ( ('Calc - SA'!$A$4 - 'Calc - SA'!$A$14)*('Calc - SA'!$U$4 - 'Calc - SA'!$U$14) - ('Calc - SA'!F$4 - 'Calc - SA'!F$14)*('Calc - SA'!$A$4 - 'Calc - SA'!$A$14) )</f>
        <v>#REF!</v>
      </c>
      <c r="G22" s="122" t="str">
        <f>(  ('Calc - SA'!$A$4*'Calc - SA'!G$14 - 'Calc - SA'!G$4*'Calc - SA'!$A$14)*( 'Calc - SA'!$A$4 - 'Calc - SA'!$A$14) - ('Calc - SA'!$A$4 - 'Calc - SA'!$A$14)*('Calc - SA'!$A$4*'Calc - SA'!$U$14 - 'Calc - SA'!$U$4*'Calc - SA'!$A$14)  )  /  ( ('Calc - SA'!$A$4 - 'Calc - SA'!$A$14)*('Calc - SA'!$U$4 - 'Calc - SA'!$U$14) - ('Calc - SA'!G$4 - 'Calc - SA'!G$14)*('Calc - SA'!$A$4 - 'Calc - SA'!$A$14) )</f>
        <v>#REF!</v>
      </c>
      <c r="H22" s="122" t="str">
        <f>(  ('Calc - SA'!$A$4*'Calc - SA'!H$14 - 'Calc - SA'!H$4*'Calc - SA'!$A$14)*( 'Calc - SA'!$A$4 - 'Calc - SA'!$A$14) - ('Calc - SA'!$A$4 - 'Calc - SA'!$A$14)*('Calc - SA'!$A$4*'Calc - SA'!$U$14 - 'Calc - SA'!$U$4*'Calc - SA'!$A$14)  )  /  ( ('Calc - SA'!$A$4 - 'Calc - SA'!$A$14)*('Calc - SA'!$U$4 - 'Calc - SA'!$U$14) - ('Calc - SA'!H$4 - 'Calc - SA'!H$14)*('Calc - SA'!$A$4 - 'Calc - SA'!$A$14) )</f>
        <v>#REF!</v>
      </c>
      <c r="I22" s="122" t="str">
        <f>(  ('Calc - SA'!$A$4*'Calc - SA'!I$14 - 'Calc - SA'!I$4*'Calc - SA'!$A$14)*( 'Calc - SA'!$A$4 - 'Calc - SA'!$A$14) - ('Calc - SA'!$A$4 - 'Calc - SA'!$A$14)*('Calc - SA'!$A$4*'Calc - SA'!$U$14 - 'Calc - SA'!$U$4*'Calc - SA'!$A$14)  )  /  ( ('Calc - SA'!$A$4 - 'Calc - SA'!$A$14)*('Calc - SA'!$U$4 - 'Calc - SA'!$U$14) - ('Calc - SA'!I$4 - 'Calc - SA'!I$14)*('Calc - SA'!$A$4 - 'Calc - SA'!$A$14) )</f>
        <v>#REF!</v>
      </c>
      <c r="J22" s="122" t="str">
        <f>(  ('Calc - SA'!$A$4*'Calc - SA'!J$14 - 'Calc - SA'!J$4*'Calc - SA'!$A$14)*( 'Calc - SA'!$A$4 - 'Calc - SA'!$A$14) - ('Calc - SA'!$A$4 - 'Calc - SA'!$A$14)*('Calc - SA'!$A$4*'Calc - SA'!$U$14 - 'Calc - SA'!$U$4*'Calc - SA'!$A$14)  )  /  ( ('Calc - SA'!$A$4 - 'Calc - SA'!$A$14)*('Calc - SA'!$U$4 - 'Calc - SA'!$U$14) - ('Calc - SA'!J$4 - 'Calc - SA'!J$14)*('Calc - SA'!$A$4 - 'Calc - SA'!$A$14) )</f>
        <v>#REF!</v>
      </c>
      <c r="K22" s="122" t="str">
        <f>(  ('Calc - SA'!$A$4*'Calc - SA'!K$14 - 'Calc - SA'!K$4*'Calc - SA'!$A$14)*( 'Calc - SA'!$A$4 - 'Calc - SA'!$A$14) - ('Calc - SA'!$A$4 - 'Calc - SA'!$A$14)*('Calc - SA'!$A$4*'Calc - SA'!$U$14 - 'Calc - SA'!$U$4*'Calc - SA'!$A$14)  )  /  ( ('Calc - SA'!$A$4 - 'Calc - SA'!$A$14)*('Calc - SA'!$U$4 - 'Calc - SA'!$U$14) - ('Calc - SA'!K$4 - 'Calc - SA'!K$14)*('Calc - SA'!$A$4 - 'Calc - SA'!$A$14) )</f>
        <v>#REF!</v>
      </c>
      <c r="L22" s="122" t="str">
        <f>(  ('Calc - SA'!$A$4*'Calc - SA'!L$14 - 'Calc - SA'!L$4*'Calc - SA'!$A$14)*( 'Calc - SA'!$A$4 - 'Calc - SA'!$A$14) - ('Calc - SA'!$A$4 - 'Calc - SA'!$A$14)*('Calc - SA'!$A$4*'Calc - SA'!$U$14 - 'Calc - SA'!$U$4*'Calc - SA'!$A$14)  )  /  ( ('Calc - SA'!$A$4 - 'Calc - SA'!$A$14)*('Calc - SA'!$U$4 - 'Calc - SA'!$U$14) - ('Calc - SA'!L$4 - 'Calc - SA'!L$14)*('Calc - SA'!$A$4 - 'Calc - SA'!$A$14) )</f>
        <v>#REF!</v>
      </c>
      <c r="M22" s="122" t="str">
        <f>(  ('Calc - SA'!$A$4*'Calc - SA'!M$14 - 'Calc - SA'!M$4*'Calc - SA'!$A$14)*( 'Calc - SA'!$A$4 - 'Calc - SA'!$A$14) - ('Calc - SA'!$A$4 - 'Calc - SA'!$A$14)*('Calc - SA'!$A$4*'Calc - SA'!$U$14 - 'Calc - SA'!$U$4*'Calc - SA'!$A$14)  )  /  ( ('Calc - SA'!$A$4 - 'Calc - SA'!$A$14)*('Calc - SA'!$U$4 - 'Calc - SA'!$U$14) - ('Calc - SA'!M$4 - 'Calc - SA'!M$14)*('Calc - SA'!$A$4 - 'Calc - SA'!$A$14) )</f>
        <v>#REF!</v>
      </c>
      <c r="N22" s="122" t="str">
        <f>(  ('Calc - SA'!$A$4*'Calc - SA'!N$14 - 'Calc - SA'!N$4*'Calc - SA'!$A$14)*( 'Calc - SA'!$A$4 - 'Calc - SA'!$A$14) - ('Calc - SA'!$A$4 - 'Calc - SA'!$A$14)*('Calc - SA'!$A$4*'Calc - SA'!$U$14 - 'Calc - SA'!$U$4*'Calc - SA'!$A$14)  )  /  ( ('Calc - SA'!$A$4 - 'Calc - SA'!$A$14)*('Calc - SA'!$U$4 - 'Calc - SA'!$U$14) - ('Calc - SA'!N$4 - 'Calc - SA'!N$14)*('Calc - SA'!$A$4 - 'Calc - SA'!$A$14) )</f>
        <v>#REF!</v>
      </c>
      <c r="O22" s="122" t="str">
        <f>(  ('Calc - SA'!$A$4*'Calc - SA'!O$14 - 'Calc - SA'!O$4*'Calc - SA'!$A$14)*( 'Calc - SA'!$A$4 - 'Calc - SA'!$A$14) - ('Calc - SA'!$A$4 - 'Calc - SA'!$A$14)*('Calc - SA'!$A$4*'Calc - SA'!$U$14 - 'Calc - SA'!$U$4*'Calc - SA'!$A$14)  )  /  ( ('Calc - SA'!$A$4 - 'Calc - SA'!$A$14)*('Calc - SA'!$U$4 - 'Calc - SA'!$U$14) - ('Calc - SA'!O$4 - 'Calc - SA'!O$14)*('Calc - SA'!$A$4 - 'Calc - SA'!$A$14) )</f>
        <v>#REF!</v>
      </c>
      <c r="P22" s="122" t="str">
        <f>(  ('Calc - SA'!$A$4*'Calc - SA'!P$14 - 'Calc - SA'!P$4*'Calc - SA'!$A$14)*( 'Calc - SA'!$A$4 - 'Calc - SA'!$A$14) - ('Calc - SA'!$A$4 - 'Calc - SA'!$A$14)*('Calc - SA'!$A$4*'Calc - SA'!$U$14 - 'Calc - SA'!$U$4*'Calc - SA'!$A$14)  )  /  ( ('Calc - SA'!$A$4 - 'Calc - SA'!$A$14)*('Calc - SA'!$U$4 - 'Calc - SA'!$U$14) - ('Calc - SA'!P$4 - 'Calc - SA'!P$14)*('Calc - SA'!$A$4 - 'Calc - SA'!$A$14) )</f>
        <v>#REF!</v>
      </c>
      <c r="Q22" s="122" t="str">
        <f>(  ('Calc - SA'!$A$4*'Calc - SA'!Q$14 - 'Calc - SA'!Q$4*'Calc - SA'!$A$14)*( 'Calc - SA'!$A$4 - 'Calc - SA'!$A$14) - ('Calc - SA'!$A$4 - 'Calc - SA'!$A$14)*('Calc - SA'!$A$4*'Calc - SA'!$U$14 - 'Calc - SA'!$U$4*'Calc - SA'!$A$14)  )  /  ( ('Calc - SA'!$A$4 - 'Calc - SA'!$A$14)*('Calc - SA'!$U$4 - 'Calc - SA'!$U$14) - ('Calc - SA'!Q$4 - 'Calc - SA'!Q$14)*('Calc - SA'!$A$4 - 'Calc - SA'!$A$14) )</f>
        <v>#REF!</v>
      </c>
      <c r="R22" s="122" t="str">
        <f>(  ('Calc - SA'!$A$4*'Calc - SA'!R$14 - 'Calc - SA'!R$4*'Calc - SA'!$A$14)*( 'Calc - SA'!$A$4 - 'Calc - SA'!$A$14) - ('Calc - SA'!$A$4 - 'Calc - SA'!$A$14)*('Calc - SA'!$A$4*'Calc - SA'!$U$14 - 'Calc - SA'!$U$4*'Calc - SA'!$A$14)  )  /  ( ('Calc - SA'!$A$4 - 'Calc - SA'!$A$14)*('Calc - SA'!$U$4 - 'Calc - SA'!$U$14) - ('Calc - SA'!R$4 - 'Calc - SA'!R$14)*('Calc - SA'!$A$4 - 'Calc - SA'!$A$14) )</f>
        <v>#REF!</v>
      </c>
      <c r="S22" s="122" t="str">
        <f>(  ('Calc - SA'!$A$4*'Calc - SA'!S$14 - 'Calc - SA'!S$4*'Calc - SA'!$A$14)*( 'Calc - SA'!$A$4 - 'Calc - SA'!$A$14) - ('Calc - SA'!$A$4 - 'Calc - SA'!$A$14)*('Calc - SA'!$A$4*'Calc - SA'!$U$14 - 'Calc - SA'!$U$4*'Calc - SA'!$A$14)  )  /  ( ('Calc - SA'!$A$4 - 'Calc - SA'!$A$14)*('Calc - SA'!$U$4 - 'Calc - SA'!$U$14) - ('Calc - SA'!S$4 - 'Calc - SA'!S$14)*('Calc - SA'!$A$4 - 'Calc - SA'!$A$14) )</f>
        <v>#REF!</v>
      </c>
      <c r="T22" s="122" t="str">
        <f>(  ('Calc - SA'!$A$4*'Calc - SA'!T$14 - 'Calc - SA'!T$4*'Calc - SA'!$A$14)*( 'Calc - SA'!$A$4 - 'Calc - SA'!$A$14) - ('Calc - SA'!$A$4 - 'Calc - SA'!$A$14)*('Calc - SA'!$A$4*'Calc - SA'!$U$14 - 'Calc - SA'!$U$4*'Calc - SA'!$A$14)  )  /  ( ('Calc - SA'!$A$4 - 'Calc - SA'!$A$14)*('Calc - SA'!$U$4 - 'Calc - SA'!$U$14) - ('Calc - SA'!T$4 - 'Calc - SA'!T$14)*('Calc - SA'!$A$4 - 'Calc - SA'!$A$14) )</f>
        <v>#REF!</v>
      </c>
      <c r="U22" s="121"/>
      <c r="V22" s="121"/>
      <c r="W22" s="121"/>
      <c r="X22" s="121"/>
      <c r="Y22" s="121"/>
      <c r="Z22" s="121"/>
    </row>
    <row r="23" ht="14.25" customHeight="1">
      <c r="A23" s="119" t="str">
        <f t="shared" si="4"/>
        <v>#REF!</v>
      </c>
      <c r="B23" s="122" t="str">
        <f>(  ('Calc - SA'!$A$4*'Calc - SA'!B$14 - 'Calc - SA'!B$4*'Calc - SA'!$A$14)*( 'Calc - SA'!$A$4 - 'Calc - SA'!$A$14) - ('Calc - SA'!$A$4 - 'Calc - SA'!$A$14)*('Calc - SA'!$A$4*'Calc - SA'!$V$14 - 'Calc - SA'!$V$4*'Calc - SA'!$A$14)  )  /  ( ('Calc - SA'!$A$4 - 'Calc - SA'!$A$14)*('Calc - SA'!$V$4 - 'Calc - SA'!$V$14) - ('Calc - SA'!B$4 - 'Calc - SA'!B$14)*('Calc - SA'!$A$4 - 'Calc - SA'!$A$14) )</f>
        <v>#REF!</v>
      </c>
      <c r="C23" s="122" t="str">
        <f>(  ('Calc - SA'!$A$4*'Calc - SA'!C$14 - 'Calc - SA'!C$4*'Calc - SA'!$A$14)*( 'Calc - SA'!$A$4 - 'Calc - SA'!$A$14) - ('Calc - SA'!$A$4 - 'Calc - SA'!$A$14)*('Calc - SA'!$A$4*'Calc - SA'!$V$14 - 'Calc - SA'!$V$4*'Calc - SA'!$A$14)  )  /  ( ('Calc - SA'!$A$4 - 'Calc - SA'!$A$14)*('Calc - SA'!$V$4 - 'Calc - SA'!$V$14) - ('Calc - SA'!C$4 - 'Calc - SA'!C$14)*('Calc - SA'!$A$4 - 'Calc - SA'!$A$14) )</f>
        <v>#REF!</v>
      </c>
      <c r="D23" s="122" t="str">
        <f>(  ('Calc - SA'!$A$4*'Calc - SA'!D$14 - 'Calc - SA'!D$4*'Calc - SA'!$A$14)*( 'Calc - SA'!$A$4 - 'Calc - SA'!$A$14) - ('Calc - SA'!$A$4 - 'Calc - SA'!$A$14)*('Calc - SA'!$A$4*'Calc - SA'!$V$14 - 'Calc - SA'!$V$4*'Calc - SA'!$A$14)  )  /  ( ('Calc - SA'!$A$4 - 'Calc - SA'!$A$14)*('Calc - SA'!$V$4 - 'Calc - SA'!$V$14) - ('Calc - SA'!D$4 - 'Calc - SA'!D$14)*('Calc - SA'!$A$4 - 'Calc - SA'!$A$14) )</f>
        <v>#REF!</v>
      </c>
      <c r="E23" s="122" t="str">
        <f>(  ('Calc - SA'!$A$4*'Calc - SA'!E$14 - 'Calc - SA'!E$4*'Calc - SA'!$A$14)*( 'Calc - SA'!$A$4 - 'Calc - SA'!$A$14) - ('Calc - SA'!$A$4 - 'Calc - SA'!$A$14)*('Calc - SA'!$A$4*'Calc - SA'!$V$14 - 'Calc - SA'!$V$4*'Calc - SA'!$A$14)  )  /  ( ('Calc - SA'!$A$4 - 'Calc - SA'!$A$14)*('Calc - SA'!$V$4 - 'Calc - SA'!$V$14) - ('Calc - SA'!E$4 - 'Calc - SA'!E$14)*('Calc - SA'!$A$4 - 'Calc - SA'!$A$14) )</f>
        <v>#REF!</v>
      </c>
      <c r="F23" s="122" t="str">
        <f>(  ('Calc - SA'!$A$4*'Calc - SA'!F$14 - 'Calc - SA'!F$4*'Calc - SA'!$A$14)*( 'Calc - SA'!$A$4 - 'Calc - SA'!$A$14) - ('Calc - SA'!$A$4 - 'Calc - SA'!$A$14)*('Calc - SA'!$A$4*'Calc - SA'!$V$14 - 'Calc - SA'!$V$4*'Calc - SA'!$A$14)  )  /  ( ('Calc - SA'!$A$4 - 'Calc - SA'!$A$14)*('Calc - SA'!$V$4 - 'Calc - SA'!$V$14) - ('Calc - SA'!F$4 - 'Calc - SA'!F$14)*('Calc - SA'!$A$4 - 'Calc - SA'!$A$14) )</f>
        <v>#REF!</v>
      </c>
      <c r="G23" s="122" t="str">
        <f>(  ('Calc - SA'!$A$4*'Calc - SA'!G$14 - 'Calc - SA'!G$4*'Calc - SA'!$A$14)*( 'Calc - SA'!$A$4 - 'Calc - SA'!$A$14) - ('Calc - SA'!$A$4 - 'Calc - SA'!$A$14)*('Calc - SA'!$A$4*'Calc - SA'!$V$14 - 'Calc - SA'!$V$4*'Calc - SA'!$A$14)  )  /  ( ('Calc - SA'!$A$4 - 'Calc - SA'!$A$14)*('Calc - SA'!$V$4 - 'Calc - SA'!$V$14) - ('Calc - SA'!G$4 - 'Calc - SA'!G$14)*('Calc - SA'!$A$4 - 'Calc - SA'!$A$14) )</f>
        <v>#REF!</v>
      </c>
      <c r="H23" s="122" t="str">
        <f>(  ('Calc - SA'!$A$4*'Calc - SA'!H$14 - 'Calc - SA'!H$4*'Calc - SA'!$A$14)*( 'Calc - SA'!$A$4 - 'Calc - SA'!$A$14) - ('Calc - SA'!$A$4 - 'Calc - SA'!$A$14)*('Calc - SA'!$A$4*'Calc - SA'!$V$14 - 'Calc - SA'!$V$4*'Calc - SA'!$A$14)  )  /  ( ('Calc - SA'!$A$4 - 'Calc - SA'!$A$14)*('Calc - SA'!$V$4 - 'Calc - SA'!$V$14) - ('Calc - SA'!H$4 - 'Calc - SA'!H$14)*('Calc - SA'!$A$4 - 'Calc - SA'!$A$14) )</f>
        <v>#REF!</v>
      </c>
      <c r="I23" s="122" t="str">
        <f>(  ('Calc - SA'!$A$4*'Calc - SA'!I$14 - 'Calc - SA'!I$4*'Calc - SA'!$A$14)*( 'Calc - SA'!$A$4 - 'Calc - SA'!$A$14) - ('Calc - SA'!$A$4 - 'Calc - SA'!$A$14)*('Calc - SA'!$A$4*'Calc - SA'!$V$14 - 'Calc - SA'!$V$4*'Calc - SA'!$A$14)  )  /  ( ('Calc - SA'!$A$4 - 'Calc - SA'!$A$14)*('Calc - SA'!$V$4 - 'Calc - SA'!$V$14) - ('Calc - SA'!I$4 - 'Calc - SA'!I$14)*('Calc - SA'!$A$4 - 'Calc - SA'!$A$14) )</f>
        <v>#REF!</v>
      </c>
      <c r="J23" s="122" t="str">
        <f>(  ('Calc - SA'!$A$4*'Calc - SA'!J$14 - 'Calc - SA'!J$4*'Calc - SA'!$A$14)*( 'Calc - SA'!$A$4 - 'Calc - SA'!$A$14) - ('Calc - SA'!$A$4 - 'Calc - SA'!$A$14)*('Calc - SA'!$A$4*'Calc - SA'!$V$14 - 'Calc - SA'!$V$4*'Calc - SA'!$A$14)  )  /  ( ('Calc - SA'!$A$4 - 'Calc - SA'!$A$14)*('Calc - SA'!$V$4 - 'Calc - SA'!$V$14) - ('Calc - SA'!J$4 - 'Calc - SA'!J$14)*('Calc - SA'!$A$4 - 'Calc - SA'!$A$14) )</f>
        <v>#REF!</v>
      </c>
      <c r="K23" s="122" t="str">
        <f>(  ('Calc - SA'!$A$4*'Calc - SA'!K$14 - 'Calc - SA'!K$4*'Calc - SA'!$A$14)*( 'Calc - SA'!$A$4 - 'Calc - SA'!$A$14) - ('Calc - SA'!$A$4 - 'Calc - SA'!$A$14)*('Calc - SA'!$A$4*'Calc - SA'!$V$14 - 'Calc - SA'!$V$4*'Calc - SA'!$A$14)  )  /  ( ('Calc - SA'!$A$4 - 'Calc - SA'!$A$14)*('Calc - SA'!$V$4 - 'Calc - SA'!$V$14) - ('Calc - SA'!K$4 - 'Calc - SA'!K$14)*('Calc - SA'!$A$4 - 'Calc - SA'!$A$14) )</f>
        <v>#REF!</v>
      </c>
      <c r="L23" s="122" t="str">
        <f>(  ('Calc - SA'!$A$4*'Calc - SA'!L$14 - 'Calc - SA'!L$4*'Calc - SA'!$A$14)*( 'Calc - SA'!$A$4 - 'Calc - SA'!$A$14) - ('Calc - SA'!$A$4 - 'Calc - SA'!$A$14)*('Calc - SA'!$A$4*'Calc - SA'!$V$14 - 'Calc - SA'!$V$4*'Calc - SA'!$A$14)  )  /  ( ('Calc - SA'!$A$4 - 'Calc - SA'!$A$14)*('Calc - SA'!$V$4 - 'Calc - SA'!$V$14) - ('Calc - SA'!L$4 - 'Calc - SA'!L$14)*('Calc - SA'!$A$4 - 'Calc - SA'!$A$14) )</f>
        <v>#REF!</v>
      </c>
      <c r="M23" s="122" t="str">
        <f>(  ('Calc - SA'!$A$4*'Calc - SA'!M$14 - 'Calc - SA'!M$4*'Calc - SA'!$A$14)*( 'Calc - SA'!$A$4 - 'Calc - SA'!$A$14) - ('Calc - SA'!$A$4 - 'Calc - SA'!$A$14)*('Calc - SA'!$A$4*'Calc - SA'!$V$14 - 'Calc - SA'!$V$4*'Calc - SA'!$A$14)  )  /  ( ('Calc - SA'!$A$4 - 'Calc - SA'!$A$14)*('Calc - SA'!$V$4 - 'Calc - SA'!$V$14) - ('Calc - SA'!M$4 - 'Calc - SA'!M$14)*('Calc - SA'!$A$4 - 'Calc - SA'!$A$14) )</f>
        <v>#REF!</v>
      </c>
      <c r="N23" s="122" t="str">
        <f>(  ('Calc - SA'!$A$4*'Calc - SA'!N$14 - 'Calc - SA'!N$4*'Calc - SA'!$A$14)*( 'Calc - SA'!$A$4 - 'Calc - SA'!$A$14) - ('Calc - SA'!$A$4 - 'Calc - SA'!$A$14)*('Calc - SA'!$A$4*'Calc - SA'!$V$14 - 'Calc - SA'!$V$4*'Calc - SA'!$A$14)  )  /  ( ('Calc - SA'!$A$4 - 'Calc - SA'!$A$14)*('Calc - SA'!$V$4 - 'Calc - SA'!$V$14) - ('Calc - SA'!N$4 - 'Calc - SA'!N$14)*('Calc - SA'!$A$4 - 'Calc - SA'!$A$14) )</f>
        <v>#REF!</v>
      </c>
      <c r="O23" s="122" t="str">
        <f>(  ('Calc - SA'!$A$4*'Calc - SA'!O$14 - 'Calc - SA'!O$4*'Calc - SA'!$A$14)*( 'Calc - SA'!$A$4 - 'Calc - SA'!$A$14) - ('Calc - SA'!$A$4 - 'Calc - SA'!$A$14)*('Calc - SA'!$A$4*'Calc - SA'!$V$14 - 'Calc - SA'!$V$4*'Calc - SA'!$A$14)  )  /  ( ('Calc - SA'!$A$4 - 'Calc - SA'!$A$14)*('Calc - SA'!$V$4 - 'Calc - SA'!$V$14) - ('Calc - SA'!O$4 - 'Calc - SA'!O$14)*('Calc - SA'!$A$4 - 'Calc - SA'!$A$14) )</f>
        <v>#REF!</v>
      </c>
      <c r="P23" s="122" t="str">
        <f>(  ('Calc - SA'!$A$4*'Calc - SA'!P$14 - 'Calc - SA'!P$4*'Calc - SA'!$A$14)*( 'Calc - SA'!$A$4 - 'Calc - SA'!$A$14) - ('Calc - SA'!$A$4 - 'Calc - SA'!$A$14)*('Calc - SA'!$A$4*'Calc - SA'!$V$14 - 'Calc - SA'!$V$4*'Calc - SA'!$A$14)  )  /  ( ('Calc - SA'!$A$4 - 'Calc - SA'!$A$14)*('Calc - SA'!$V$4 - 'Calc - SA'!$V$14) - ('Calc - SA'!P$4 - 'Calc - SA'!P$14)*('Calc - SA'!$A$4 - 'Calc - SA'!$A$14) )</f>
        <v>#REF!</v>
      </c>
      <c r="Q23" s="122" t="str">
        <f>(  ('Calc - SA'!$A$4*'Calc - SA'!Q$14 - 'Calc - SA'!Q$4*'Calc - SA'!$A$14)*( 'Calc - SA'!$A$4 - 'Calc - SA'!$A$14) - ('Calc - SA'!$A$4 - 'Calc - SA'!$A$14)*('Calc - SA'!$A$4*'Calc - SA'!$V$14 - 'Calc - SA'!$V$4*'Calc - SA'!$A$14)  )  /  ( ('Calc - SA'!$A$4 - 'Calc - SA'!$A$14)*('Calc - SA'!$V$4 - 'Calc - SA'!$V$14) - ('Calc - SA'!Q$4 - 'Calc - SA'!Q$14)*('Calc - SA'!$A$4 - 'Calc - SA'!$A$14) )</f>
        <v>#REF!</v>
      </c>
      <c r="R23" s="122" t="str">
        <f>(  ('Calc - SA'!$A$4*'Calc - SA'!R$14 - 'Calc - SA'!R$4*'Calc - SA'!$A$14)*( 'Calc - SA'!$A$4 - 'Calc - SA'!$A$14) - ('Calc - SA'!$A$4 - 'Calc - SA'!$A$14)*('Calc - SA'!$A$4*'Calc - SA'!$V$14 - 'Calc - SA'!$V$4*'Calc - SA'!$A$14)  )  /  ( ('Calc - SA'!$A$4 - 'Calc - SA'!$A$14)*('Calc - SA'!$V$4 - 'Calc - SA'!$V$14) - ('Calc - SA'!R$4 - 'Calc - SA'!R$14)*('Calc - SA'!$A$4 - 'Calc - SA'!$A$14) )</f>
        <v>#REF!</v>
      </c>
      <c r="S23" s="122" t="str">
        <f>(  ('Calc - SA'!$A$4*'Calc - SA'!S$14 - 'Calc - SA'!S$4*'Calc - SA'!$A$14)*( 'Calc - SA'!$A$4 - 'Calc - SA'!$A$14) - ('Calc - SA'!$A$4 - 'Calc - SA'!$A$14)*('Calc - SA'!$A$4*'Calc - SA'!$V$14 - 'Calc - SA'!$V$4*'Calc - SA'!$A$14)  )  /  ( ('Calc - SA'!$A$4 - 'Calc - SA'!$A$14)*('Calc - SA'!$V$4 - 'Calc - SA'!$V$14) - ('Calc - SA'!S$4 - 'Calc - SA'!S$14)*('Calc - SA'!$A$4 - 'Calc - SA'!$A$14) )</f>
        <v>#REF!</v>
      </c>
      <c r="T23" s="122" t="str">
        <f>(  ('Calc - SA'!$A$4*'Calc - SA'!T$14 - 'Calc - SA'!T$4*'Calc - SA'!$A$14)*( 'Calc - SA'!$A$4 - 'Calc - SA'!$A$14) - ('Calc - SA'!$A$4 - 'Calc - SA'!$A$14)*('Calc - SA'!$A$4*'Calc - SA'!$V$14 - 'Calc - SA'!$V$4*'Calc - SA'!$A$14)  )  /  ( ('Calc - SA'!$A$4 - 'Calc - SA'!$A$14)*('Calc - SA'!$V$4 - 'Calc - SA'!$V$14) - ('Calc - SA'!T$4 - 'Calc - SA'!T$14)*('Calc - SA'!$A$4 - 'Calc - SA'!$A$14) )</f>
        <v>#REF!</v>
      </c>
      <c r="U23" s="122" t="str">
        <f>(  ('Calc - SA'!$A$4*'Calc - SA'!U$14 - 'Calc - SA'!U$4*'Calc - SA'!$A$14)*( 'Calc - SA'!$A$4 - 'Calc - SA'!$A$14) - ('Calc - SA'!$A$4 - 'Calc - SA'!$A$14)*('Calc - SA'!$A$4*'Calc - SA'!$V$14 - 'Calc - SA'!$V$4*'Calc - SA'!$A$14)  )  /  ( ('Calc - SA'!$A$4 - 'Calc - SA'!$A$14)*('Calc - SA'!$V$4 - 'Calc - SA'!$V$14) - ('Calc - SA'!U$4 - 'Calc - SA'!U$14)*('Calc - SA'!$A$4 - 'Calc - SA'!$A$14) )</f>
        <v>#REF!</v>
      </c>
      <c r="V23" s="121"/>
      <c r="W23" s="121"/>
      <c r="X23" s="121"/>
      <c r="Y23" s="121"/>
      <c r="Z23" s="121"/>
    </row>
    <row r="24" ht="14.25" customHeight="1">
      <c r="A24" s="119" t="str">
        <f t="shared" si="4"/>
        <v>#REF!</v>
      </c>
      <c r="B24" s="122" t="str">
        <f>(  ('Calc - SA'!$A$4*'Calc - SA'!B$14 - 'Calc - SA'!B$4*'Calc - SA'!$A$14)*( 'Calc - SA'!$A$4 - 'Calc - SA'!$A$14) - ('Calc - SA'!$A$4 - 'Calc - SA'!$A$14)*('Calc - SA'!$A$4*'Calc - SA'!$W$14 - 'Calc - SA'!$W$4*'Calc - SA'!$A$14)  )  /  ( ('Calc - SA'!$A$4 - 'Calc - SA'!$A$14)*('Calc - SA'!$W$4 - 'Calc - SA'!$W$14) - ('Calc - SA'!B$4 - 'Calc - SA'!B$14)*('Calc - SA'!$A$4 - 'Calc - SA'!$A$14) )</f>
        <v>#REF!</v>
      </c>
      <c r="C24" s="122" t="str">
        <f>(  ('Calc - SA'!$A$4*'Calc - SA'!C$14 - 'Calc - SA'!C$4*'Calc - SA'!$A$14)*( 'Calc - SA'!$A$4 - 'Calc - SA'!$A$14) - ('Calc - SA'!$A$4 - 'Calc - SA'!$A$14)*('Calc - SA'!$A$4*'Calc - SA'!$W$14 - 'Calc - SA'!$W$4*'Calc - SA'!$A$14)  )  /  ( ('Calc - SA'!$A$4 - 'Calc - SA'!$A$14)*('Calc - SA'!$W$4 - 'Calc - SA'!$W$14) - ('Calc - SA'!C$4 - 'Calc - SA'!C$14)*('Calc - SA'!$A$4 - 'Calc - SA'!$A$14) )</f>
        <v>#REF!</v>
      </c>
      <c r="D24" s="122" t="str">
        <f>(  ('Calc - SA'!$A$4*'Calc - SA'!D$14 - 'Calc - SA'!D$4*'Calc - SA'!$A$14)*( 'Calc - SA'!$A$4 - 'Calc - SA'!$A$14) - ('Calc - SA'!$A$4 - 'Calc - SA'!$A$14)*('Calc - SA'!$A$4*'Calc - SA'!$W$14 - 'Calc - SA'!$W$4*'Calc - SA'!$A$14)  )  /  ( ('Calc - SA'!$A$4 - 'Calc - SA'!$A$14)*('Calc - SA'!$W$4 - 'Calc - SA'!$W$14) - ('Calc - SA'!D$4 - 'Calc - SA'!D$14)*('Calc - SA'!$A$4 - 'Calc - SA'!$A$14) )</f>
        <v>#REF!</v>
      </c>
      <c r="E24" s="122" t="str">
        <f>(  ('Calc - SA'!$A$4*'Calc - SA'!E$14 - 'Calc - SA'!E$4*'Calc - SA'!$A$14)*( 'Calc - SA'!$A$4 - 'Calc - SA'!$A$14) - ('Calc - SA'!$A$4 - 'Calc - SA'!$A$14)*('Calc - SA'!$A$4*'Calc - SA'!$W$14 - 'Calc - SA'!$W$4*'Calc - SA'!$A$14)  )  /  ( ('Calc - SA'!$A$4 - 'Calc - SA'!$A$14)*('Calc - SA'!$W$4 - 'Calc - SA'!$W$14) - ('Calc - SA'!E$4 - 'Calc - SA'!E$14)*('Calc - SA'!$A$4 - 'Calc - SA'!$A$14) )</f>
        <v>#REF!</v>
      </c>
      <c r="F24" s="122" t="str">
        <f>(  ('Calc - SA'!$A$4*'Calc - SA'!F$14 - 'Calc - SA'!F$4*'Calc - SA'!$A$14)*( 'Calc - SA'!$A$4 - 'Calc - SA'!$A$14) - ('Calc - SA'!$A$4 - 'Calc - SA'!$A$14)*('Calc - SA'!$A$4*'Calc - SA'!$W$14 - 'Calc - SA'!$W$4*'Calc - SA'!$A$14)  )  /  ( ('Calc - SA'!$A$4 - 'Calc - SA'!$A$14)*('Calc - SA'!$W$4 - 'Calc - SA'!$W$14) - ('Calc - SA'!F$4 - 'Calc - SA'!F$14)*('Calc - SA'!$A$4 - 'Calc - SA'!$A$14) )</f>
        <v>#REF!</v>
      </c>
      <c r="G24" s="122" t="str">
        <f>(  ('Calc - SA'!$A$4*'Calc - SA'!G$14 - 'Calc - SA'!G$4*'Calc - SA'!$A$14)*( 'Calc - SA'!$A$4 - 'Calc - SA'!$A$14) - ('Calc - SA'!$A$4 - 'Calc - SA'!$A$14)*('Calc - SA'!$A$4*'Calc - SA'!$W$14 - 'Calc - SA'!$W$4*'Calc - SA'!$A$14)  )  /  ( ('Calc - SA'!$A$4 - 'Calc - SA'!$A$14)*('Calc - SA'!$W$4 - 'Calc - SA'!$W$14) - ('Calc - SA'!G$4 - 'Calc - SA'!G$14)*('Calc - SA'!$A$4 - 'Calc - SA'!$A$14) )</f>
        <v>#REF!</v>
      </c>
      <c r="H24" s="122" t="str">
        <f>(  ('Calc - SA'!$A$4*'Calc - SA'!H$14 - 'Calc - SA'!H$4*'Calc - SA'!$A$14)*( 'Calc - SA'!$A$4 - 'Calc - SA'!$A$14) - ('Calc - SA'!$A$4 - 'Calc - SA'!$A$14)*('Calc - SA'!$A$4*'Calc - SA'!$W$14 - 'Calc - SA'!$W$4*'Calc - SA'!$A$14)  )  /  ( ('Calc - SA'!$A$4 - 'Calc - SA'!$A$14)*('Calc - SA'!$W$4 - 'Calc - SA'!$W$14) - ('Calc - SA'!H$4 - 'Calc - SA'!H$14)*('Calc - SA'!$A$4 - 'Calc - SA'!$A$14) )</f>
        <v>#REF!</v>
      </c>
      <c r="I24" s="122" t="str">
        <f>(  ('Calc - SA'!$A$4*'Calc - SA'!I$14 - 'Calc - SA'!I$4*'Calc - SA'!$A$14)*( 'Calc - SA'!$A$4 - 'Calc - SA'!$A$14) - ('Calc - SA'!$A$4 - 'Calc - SA'!$A$14)*('Calc - SA'!$A$4*'Calc - SA'!$W$14 - 'Calc - SA'!$W$4*'Calc - SA'!$A$14)  )  /  ( ('Calc - SA'!$A$4 - 'Calc - SA'!$A$14)*('Calc - SA'!$W$4 - 'Calc - SA'!$W$14) - ('Calc - SA'!I$4 - 'Calc - SA'!I$14)*('Calc - SA'!$A$4 - 'Calc - SA'!$A$14) )</f>
        <v>#REF!</v>
      </c>
      <c r="J24" s="122" t="str">
        <f>(  ('Calc - SA'!$A$4*'Calc - SA'!J$14 - 'Calc - SA'!J$4*'Calc - SA'!$A$14)*( 'Calc - SA'!$A$4 - 'Calc - SA'!$A$14) - ('Calc - SA'!$A$4 - 'Calc - SA'!$A$14)*('Calc - SA'!$A$4*'Calc - SA'!$W$14 - 'Calc - SA'!$W$4*'Calc - SA'!$A$14)  )  /  ( ('Calc - SA'!$A$4 - 'Calc - SA'!$A$14)*('Calc - SA'!$W$4 - 'Calc - SA'!$W$14) - ('Calc - SA'!J$4 - 'Calc - SA'!J$14)*('Calc - SA'!$A$4 - 'Calc - SA'!$A$14) )</f>
        <v>#REF!</v>
      </c>
      <c r="K24" s="122" t="str">
        <f>(  ('Calc - SA'!$A$4*'Calc - SA'!K$14 - 'Calc - SA'!K$4*'Calc - SA'!$A$14)*( 'Calc - SA'!$A$4 - 'Calc - SA'!$A$14) - ('Calc - SA'!$A$4 - 'Calc - SA'!$A$14)*('Calc - SA'!$A$4*'Calc - SA'!$W$14 - 'Calc - SA'!$W$4*'Calc - SA'!$A$14)  )  /  ( ('Calc - SA'!$A$4 - 'Calc - SA'!$A$14)*('Calc - SA'!$W$4 - 'Calc - SA'!$W$14) - ('Calc - SA'!K$4 - 'Calc - SA'!K$14)*('Calc - SA'!$A$4 - 'Calc - SA'!$A$14) )</f>
        <v>#REF!</v>
      </c>
      <c r="L24" s="122" t="str">
        <f>(  ('Calc - SA'!$A$4*'Calc - SA'!L$14 - 'Calc - SA'!L$4*'Calc - SA'!$A$14)*( 'Calc - SA'!$A$4 - 'Calc - SA'!$A$14) - ('Calc - SA'!$A$4 - 'Calc - SA'!$A$14)*('Calc - SA'!$A$4*'Calc - SA'!$W$14 - 'Calc - SA'!$W$4*'Calc - SA'!$A$14)  )  /  ( ('Calc - SA'!$A$4 - 'Calc - SA'!$A$14)*('Calc - SA'!$W$4 - 'Calc - SA'!$W$14) - ('Calc - SA'!L$4 - 'Calc - SA'!L$14)*('Calc - SA'!$A$4 - 'Calc - SA'!$A$14) )</f>
        <v>#REF!</v>
      </c>
      <c r="M24" s="122" t="str">
        <f>(  ('Calc - SA'!$A$4*'Calc - SA'!M$14 - 'Calc - SA'!M$4*'Calc - SA'!$A$14)*( 'Calc - SA'!$A$4 - 'Calc - SA'!$A$14) - ('Calc - SA'!$A$4 - 'Calc - SA'!$A$14)*('Calc - SA'!$A$4*'Calc - SA'!$W$14 - 'Calc - SA'!$W$4*'Calc - SA'!$A$14)  )  /  ( ('Calc - SA'!$A$4 - 'Calc - SA'!$A$14)*('Calc - SA'!$W$4 - 'Calc - SA'!$W$14) - ('Calc - SA'!M$4 - 'Calc - SA'!M$14)*('Calc - SA'!$A$4 - 'Calc - SA'!$A$14) )</f>
        <v>#REF!</v>
      </c>
      <c r="N24" s="122" t="str">
        <f>(  ('Calc - SA'!$A$4*'Calc - SA'!N$14 - 'Calc - SA'!N$4*'Calc - SA'!$A$14)*( 'Calc - SA'!$A$4 - 'Calc - SA'!$A$14) - ('Calc - SA'!$A$4 - 'Calc - SA'!$A$14)*('Calc - SA'!$A$4*'Calc - SA'!$W$14 - 'Calc - SA'!$W$4*'Calc - SA'!$A$14)  )  /  ( ('Calc - SA'!$A$4 - 'Calc - SA'!$A$14)*('Calc - SA'!$W$4 - 'Calc - SA'!$W$14) - ('Calc - SA'!N$4 - 'Calc - SA'!N$14)*('Calc - SA'!$A$4 - 'Calc - SA'!$A$14) )</f>
        <v>#REF!</v>
      </c>
      <c r="O24" s="122" t="str">
        <f>(  ('Calc - SA'!$A$4*'Calc - SA'!O$14 - 'Calc - SA'!O$4*'Calc - SA'!$A$14)*( 'Calc - SA'!$A$4 - 'Calc - SA'!$A$14) - ('Calc - SA'!$A$4 - 'Calc - SA'!$A$14)*('Calc - SA'!$A$4*'Calc - SA'!$W$14 - 'Calc - SA'!$W$4*'Calc - SA'!$A$14)  )  /  ( ('Calc - SA'!$A$4 - 'Calc - SA'!$A$14)*('Calc - SA'!$W$4 - 'Calc - SA'!$W$14) - ('Calc - SA'!O$4 - 'Calc - SA'!O$14)*('Calc - SA'!$A$4 - 'Calc - SA'!$A$14) )</f>
        <v>#REF!</v>
      </c>
      <c r="P24" s="122" t="str">
        <f>(  ('Calc - SA'!$A$4*'Calc - SA'!P$14 - 'Calc - SA'!P$4*'Calc - SA'!$A$14)*( 'Calc - SA'!$A$4 - 'Calc - SA'!$A$14) - ('Calc - SA'!$A$4 - 'Calc - SA'!$A$14)*('Calc - SA'!$A$4*'Calc - SA'!$W$14 - 'Calc - SA'!$W$4*'Calc - SA'!$A$14)  )  /  ( ('Calc - SA'!$A$4 - 'Calc - SA'!$A$14)*('Calc - SA'!$W$4 - 'Calc - SA'!$W$14) - ('Calc - SA'!P$4 - 'Calc - SA'!P$14)*('Calc - SA'!$A$4 - 'Calc - SA'!$A$14) )</f>
        <v>#REF!</v>
      </c>
      <c r="Q24" s="122" t="str">
        <f>(  ('Calc - SA'!$A$4*'Calc - SA'!Q$14 - 'Calc - SA'!Q$4*'Calc - SA'!$A$14)*( 'Calc - SA'!$A$4 - 'Calc - SA'!$A$14) - ('Calc - SA'!$A$4 - 'Calc - SA'!$A$14)*('Calc - SA'!$A$4*'Calc - SA'!$W$14 - 'Calc - SA'!$W$4*'Calc - SA'!$A$14)  )  /  ( ('Calc - SA'!$A$4 - 'Calc - SA'!$A$14)*('Calc - SA'!$W$4 - 'Calc - SA'!$W$14) - ('Calc - SA'!Q$4 - 'Calc - SA'!Q$14)*('Calc - SA'!$A$4 - 'Calc - SA'!$A$14) )</f>
        <v>#REF!</v>
      </c>
      <c r="R24" s="122" t="str">
        <f>(  ('Calc - SA'!$A$4*'Calc - SA'!R$14 - 'Calc - SA'!R$4*'Calc - SA'!$A$14)*( 'Calc - SA'!$A$4 - 'Calc - SA'!$A$14) - ('Calc - SA'!$A$4 - 'Calc - SA'!$A$14)*('Calc - SA'!$A$4*'Calc - SA'!$W$14 - 'Calc - SA'!$W$4*'Calc - SA'!$A$14)  )  /  ( ('Calc - SA'!$A$4 - 'Calc - SA'!$A$14)*('Calc - SA'!$W$4 - 'Calc - SA'!$W$14) - ('Calc - SA'!R$4 - 'Calc - SA'!R$14)*('Calc - SA'!$A$4 - 'Calc - SA'!$A$14) )</f>
        <v>#REF!</v>
      </c>
      <c r="S24" s="122" t="str">
        <f>(  ('Calc - SA'!$A$4*'Calc - SA'!S$14 - 'Calc - SA'!S$4*'Calc - SA'!$A$14)*( 'Calc - SA'!$A$4 - 'Calc - SA'!$A$14) - ('Calc - SA'!$A$4 - 'Calc - SA'!$A$14)*('Calc - SA'!$A$4*'Calc - SA'!$W$14 - 'Calc - SA'!$W$4*'Calc - SA'!$A$14)  )  /  ( ('Calc - SA'!$A$4 - 'Calc - SA'!$A$14)*('Calc - SA'!$W$4 - 'Calc - SA'!$W$14) - ('Calc - SA'!S$4 - 'Calc - SA'!S$14)*('Calc - SA'!$A$4 - 'Calc - SA'!$A$14) )</f>
        <v>#REF!</v>
      </c>
      <c r="T24" s="122" t="str">
        <f>(  ('Calc - SA'!$A$4*'Calc - SA'!T$14 - 'Calc - SA'!T$4*'Calc - SA'!$A$14)*( 'Calc - SA'!$A$4 - 'Calc - SA'!$A$14) - ('Calc - SA'!$A$4 - 'Calc - SA'!$A$14)*('Calc - SA'!$A$4*'Calc - SA'!$W$14 - 'Calc - SA'!$W$4*'Calc - SA'!$A$14)  )  /  ( ('Calc - SA'!$A$4 - 'Calc - SA'!$A$14)*('Calc - SA'!$W$4 - 'Calc - SA'!$W$14) - ('Calc - SA'!T$4 - 'Calc - SA'!T$14)*('Calc - SA'!$A$4 - 'Calc - SA'!$A$14) )</f>
        <v>#REF!</v>
      </c>
      <c r="U24" s="122" t="str">
        <f>(  ('Calc - SA'!$A$4*'Calc - SA'!U$14 - 'Calc - SA'!U$4*'Calc - SA'!$A$14)*( 'Calc - SA'!$A$4 - 'Calc - SA'!$A$14) - ('Calc - SA'!$A$4 - 'Calc - SA'!$A$14)*('Calc - SA'!$A$4*'Calc - SA'!$W$14 - 'Calc - SA'!$W$4*'Calc - SA'!$A$14)  )  /  ( ('Calc - SA'!$A$4 - 'Calc - SA'!$A$14)*('Calc - SA'!$W$4 - 'Calc - SA'!$W$14) - ('Calc - SA'!U$4 - 'Calc - SA'!U$14)*('Calc - SA'!$A$4 - 'Calc - SA'!$A$14) )</f>
        <v>#REF!</v>
      </c>
      <c r="V24" s="122" t="str">
        <f>(  ('Calc - SA'!$A$4*'Calc - SA'!V$14 - 'Calc - SA'!V$4*'Calc - SA'!$A$14)*( 'Calc - SA'!$A$4 - 'Calc - SA'!$A$14) - ('Calc - SA'!$A$4 - 'Calc - SA'!$A$14)*('Calc - SA'!$A$4*'Calc - SA'!$W$14 - 'Calc - SA'!$W$4*'Calc - SA'!$A$14)  )  /  ( ('Calc - SA'!$A$4 - 'Calc - SA'!$A$14)*('Calc - SA'!$W$4 - 'Calc - SA'!$W$14) - ('Calc - SA'!V$4 - 'Calc - SA'!V$14)*('Calc - SA'!$A$4 - 'Calc - SA'!$A$14) )</f>
        <v>#REF!</v>
      </c>
      <c r="W24" s="121"/>
      <c r="X24" s="121"/>
      <c r="Y24" s="121"/>
      <c r="Z24" s="121"/>
    </row>
    <row r="25" ht="14.25" customHeight="1">
      <c r="A25" s="119" t="str">
        <f t="shared" si="4"/>
        <v>#REF!</v>
      </c>
      <c r="B25" s="122" t="str">
        <f>(  ('Calc - SA'!$A$4*'Calc - SA'!B$14 - 'Calc - SA'!B$4*'Calc - SA'!$A$14)*( 'Calc - SA'!$A$4 - 'Calc - SA'!$A$14) - ('Calc - SA'!$A$4 - 'Calc - SA'!$A$14)*('Calc - SA'!$A$4*'Calc - SA'!$X$14 - 'Calc - SA'!$X$4*'Calc - SA'!$A$14)  )  /  ( ('Calc - SA'!$A$4 - 'Calc - SA'!$A$14)*('Calc - SA'!$X$4 - 'Calc - SA'!$X$14) - ('Calc - SA'!B$4 - 'Calc - SA'!B$14)*('Calc - SA'!$A$4 - 'Calc - SA'!$A$14) )</f>
        <v>#REF!</v>
      </c>
      <c r="C25" s="122" t="str">
        <f>(  ('Calc - SA'!$A$4*'Calc - SA'!C$14 - 'Calc - SA'!C$4*'Calc - SA'!$A$14)*( 'Calc - SA'!$A$4 - 'Calc - SA'!$A$14) - ('Calc - SA'!$A$4 - 'Calc - SA'!$A$14)*('Calc - SA'!$A$4*'Calc - SA'!$X$14 - 'Calc - SA'!$X$4*'Calc - SA'!$A$14)  )  /  ( ('Calc - SA'!$A$4 - 'Calc - SA'!$A$14)*('Calc - SA'!$X$4 - 'Calc - SA'!$X$14) - ('Calc - SA'!C$4 - 'Calc - SA'!C$14)*('Calc - SA'!$A$4 - 'Calc - SA'!$A$14) )</f>
        <v>#REF!</v>
      </c>
      <c r="D25" s="122" t="str">
        <f>(  ('Calc - SA'!$A$4*'Calc - SA'!D$14 - 'Calc - SA'!D$4*'Calc - SA'!$A$14)*( 'Calc - SA'!$A$4 - 'Calc - SA'!$A$14) - ('Calc - SA'!$A$4 - 'Calc - SA'!$A$14)*('Calc - SA'!$A$4*'Calc - SA'!$X$14 - 'Calc - SA'!$X$4*'Calc - SA'!$A$14)  )  /  ( ('Calc - SA'!$A$4 - 'Calc - SA'!$A$14)*('Calc - SA'!$X$4 - 'Calc - SA'!$X$14) - ('Calc - SA'!D$4 - 'Calc - SA'!D$14)*('Calc - SA'!$A$4 - 'Calc - SA'!$A$14) )</f>
        <v>#REF!</v>
      </c>
      <c r="E25" s="122" t="str">
        <f>(  ('Calc - SA'!$A$4*'Calc - SA'!E$14 - 'Calc - SA'!E$4*'Calc - SA'!$A$14)*( 'Calc - SA'!$A$4 - 'Calc - SA'!$A$14) - ('Calc - SA'!$A$4 - 'Calc - SA'!$A$14)*('Calc - SA'!$A$4*'Calc - SA'!$X$14 - 'Calc - SA'!$X$4*'Calc - SA'!$A$14)  )  /  ( ('Calc - SA'!$A$4 - 'Calc - SA'!$A$14)*('Calc - SA'!$X$4 - 'Calc - SA'!$X$14) - ('Calc - SA'!E$4 - 'Calc - SA'!E$14)*('Calc - SA'!$A$4 - 'Calc - SA'!$A$14) )</f>
        <v>#REF!</v>
      </c>
      <c r="F25" s="122" t="str">
        <f>(  ('Calc - SA'!$A$4*'Calc - SA'!F$14 - 'Calc - SA'!F$4*'Calc - SA'!$A$14)*( 'Calc - SA'!$A$4 - 'Calc - SA'!$A$14) - ('Calc - SA'!$A$4 - 'Calc - SA'!$A$14)*('Calc - SA'!$A$4*'Calc - SA'!$X$14 - 'Calc - SA'!$X$4*'Calc - SA'!$A$14)  )  /  ( ('Calc - SA'!$A$4 - 'Calc - SA'!$A$14)*('Calc - SA'!$X$4 - 'Calc - SA'!$X$14) - ('Calc - SA'!F$4 - 'Calc - SA'!F$14)*('Calc - SA'!$A$4 - 'Calc - SA'!$A$14) )</f>
        <v>#REF!</v>
      </c>
      <c r="G25" s="122" t="str">
        <f>(  ('Calc - SA'!$A$4*'Calc - SA'!G$14 - 'Calc - SA'!G$4*'Calc - SA'!$A$14)*( 'Calc - SA'!$A$4 - 'Calc - SA'!$A$14) - ('Calc - SA'!$A$4 - 'Calc - SA'!$A$14)*('Calc - SA'!$A$4*'Calc - SA'!$X$14 - 'Calc - SA'!$X$4*'Calc - SA'!$A$14)  )  /  ( ('Calc - SA'!$A$4 - 'Calc - SA'!$A$14)*('Calc - SA'!$X$4 - 'Calc - SA'!$X$14) - ('Calc - SA'!G$4 - 'Calc - SA'!G$14)*('Calc - SA'!$A$4 - 'Calc - SA'!$A$14) )</f>
        <v>#REF!</v>
      </c>
      <c r="H25" s="122" t="str">
        <f>(  ('Calc - SA'!$A$4*'Calc - SA'!H$14 - 'Calc - SA'!H$4*'Calc - SA'!$A$14)*( 'Calc - SA'!$A$4 - 'Calc - SA'!$A$14) - ('Calc - SA'!$A$4 - 'Calc - SA'!$A$14)*('Calc - SA'!$A$4*'Calc - SA'!$X$14 - 'Calc - SA'!$X$4*'Calc - SA'!$A$14)  )  /  ( ('Calc - SA'!$A$4 - 'Calc - SA'!$A$14)*('Calc - SA'!$X$4 - 'Calc - SA'!$X$14) - ('Calc - SA'!H$4 - 'Calc - SA'!H$14)*('Calc - SA'!$A$4 - 'Calc - SA'!$A$14) )</f>
        <v>#REF!</v>
      </c>
      <c r="I25" s="122" t="str">
        <f>(  ('Calc - SA'!$A$4*'Calc - SA'!I$14 - 'Calc - SA'!I$4*'Calc - SA'!$A$14)*( 'Calc - SA'!$A$4 - 'Calc - SA'!$A$14) - ('Calc - SA'!$A$4 - 'Calc - SA'!$A$14)*('Calc - SA'!$A$4*'Calc - SA'!$X$14 - 'Calc - SA'!$X$4*'Calc - SA'!$A$14)  )  /  ( ('Calc - SA'!$A$4 - 'Calc - SA'!$A$14)*('Calc - SA'!$X$4 - 'Calc - SA'!$X$14) - ('Calc - SA'!I$4 - 'Calc - SA'!I$14)*('Calc - SA'!$A$4 - 'Calc - SA'!$A$14) )</f>
        <v>#REF!</v>
      </c>
      <c r="J25" s="122" t="str">
        <f>(  ('Calc - SA'!$A$4*'Calc - SA'!J$14 - 'Calc - SA'!J$4*'Calc - SA'!$A$14)*( 'Calc - SA'!$A$4 - 'Calc - SA'!$A$14) - ('Calc - SA'!$A$4 - 'Calc - SA'!$A$14)*('Calc - SA'!$A$4*'Calc - SA'!$X$14 - 'Calc - SA'!$X$4*'Calc - SA'!$A$14)  )  /  ( ('Calc - SA'!$A$4 - 'Calc - SA'!$A$14)*('Calc - SA'!$X$4 - 'Calc - SA'!$X$14) - ('Calc - SA'!J$4 - 'Calc - SA'!J$14)*('Calc - SA'!$A$4 - 'Calc - SA'!$A$14) )</f>
        <v>#REF!</v>
      </c>
      <c r="K25" s="122" t="str">
        <f>(  ('Calc - SA'!$A$4*'Calc - SA'!K$14 - 'Calc - SA'!K$4*'Calc - SA'!$A$14)*( 'Calc - SA'!$A$4 - 'Calc - SA'!$A$14) - ('Calc - SA'!$A$4 - 'Calc - SA'!$A$14)*('Calc - SA'!$A$4*'Calc - SA'!$X$14 - 'Calc - SA'!$X$4*'Calc - SA'!$A$14)  )  /  ( ('Calc - SA'!$A$4 - 'Calc - SA'!$A$14)*('Calc - SA'!$X$4 - 'Calc - SA'!$X$14) - ('Calc - SA'!K$4 - 'Calc - SA'!K$14)*('Calc - SA'!$A$4 - 'Calc - SA'!$A$14) )</f>
        <v>#REF!</v>
      </c>
      <c r="L25" s="122" t="str">
        <f>(  ('Calc - SA'!$A$4*'Calc - SA'!L$14 - 'Calc - SA'!L$4*'Calc - SA'!$A$14)*( 'Calc - SA'!$A$4 - 'Calc - SA'!$A$14) - ('Calc - SA'!$A$4 - 'Calc - SA'!$A$14)*('Calc - SA'!$A$4*'Calc - SA'!$X$14 - 'Calc - SA'!$X$4*'Calc - SA'!$A$14)  )  /  ( ('Calc - SA'!$A$4 - 'Calc - SA'!$A$14)*('Calc - SA'!$X$4 - 'Calc - SA'!$X$14) - ('Calc - SA'!L$4 - 'Calc - SA'!L$14)*('Calc - SA'!$A$4 - 'Calc - SA'!$A$14) )</f>
        <v>#REF!</v>
      </c>
      <c r="M25" s="122" t="str">
        <f>(  ('Calc - SA'!$A$4*'Calc - SA'!M$14 - 'Calc - SA'!M$4*'Calc - SA'!$A$14)*( 'Calc - SA'!$A$4 - 'Calc - SA'!$A$14) - ('Calc - SA'!$A$4 - 'Calc - SA'!$A$14)*('Calc - SA'!$A$4*'Calc - SA'!$X$14 - 'Calc - SA'!$X$4*'Calc - SA'!$A$14)  )  /  ( ('Calc - SA'!$A$4 - 'Calc - SA'!$A$14)*('Calc - SA'!$X$4 - 'Calc - SA'!$X$14) - ('Calc - SA'!M$4 - 'Calc - SA'!M$14)*('Calc - SA'!$A$4 - 'Calc - SA'!$A$14) )</f>
        <v>#REF!</v>
      </c>
      <c r="N25" s="122" t="str">
        <f>(  ('Calc - SA'!$A$4*'Calc - SA'!N$14 - 'Calc - SA'!N$4*'Calc - SA'!$A$14)*( 'Calc - SA'!$A$4 - 'Calc - SA'!$A$14) - ('Calc - SA'!$A$4 - 'Calc - SA'!$A$14)*('Calc - SA'!$A$4*'Calc - SA'!$X$14 - 'Calc - SA'!$X$4*'Calc - SA'!$A$14)  )  /  ( ('Calc - SA'!$A$4 - 'Calc - SA'!$A$14)*('Calc - SA'!$X$4 - 'Calc - SA'!$X$14) - ('Calc - SA'!N$4 - 'Calc - SA'!N$14)*('Calc - SA'!$A$4 - 'Calc - SA'!$A$14) )</f>
        <v>#REF!</v>
      </c>
      <c r="O25" s="122" t="str">
        <f>(  ('Calc - SA'!$A$4*'Calc - SA'!O$14 - 'Calc - SA'!O$4*'Calc - SA'!$A$14)*( 'Calc - SA'!$A$4 - 'Calc - SA'!$A$14) - ('Calc - SA'!$A$4 - 'Calc - SA'!$A$14)*('Calc - SA'!$A$4*'Calc - SA'!$X$14 - 'Calc - SA'!$X$4*'Calc - SA'!$A$14)  )  /  ( ('Calc - SA'!$A$4 - 'Calc - SA'!$A$14)*('Calc - SA'!$X$4 - 'Calc - SA'!$X$14) - ('Calc - SA'!O$4 - 'Calc - SA'!O$14)*('Calc - SA'!$A$4 - 'Calc - SA'!$A$14) )</f>
        <v>#REF!</v>
      </c>
      <c r="P25" s="122" t="str">
        <f>(  ('Calc - SA'!$A$4*'Calc - SA'!P$14 - 'Calc - SA'!P$4*'Calc - SA'!$A$14)*( 'Calc - SA'!$A$4 - 'Calc - SA'!$A$14) - ('Calc - SA'!$A$4 - 'Calc - SA'!$A$14)*('Calc - SA'!$A$4*'Calc - SA'!$X$14 - 'Calc - SA'!$X$4*'Calc - SA'!$A$14)  )  /  ( ('Calc - SA'!$A$4 - 'Calc - SA'!$A$14)*('Calc - SA'!$X$4 - 'Calc - SA'!$X$14) - ('Calc - SA'!P$4 - 'Calc - SA'!P$14)*('Calc - SA'!$A$4 - 'Calc - SA'!$A$14) )</f>
        <v>#REF!</v>
      </c>
      <c r="Q25" s="122" t="str">
        <f>(  ('Calc - SA'!$A$4*'Calc - SA'!Q$14 - 'Calc - SA'!Q$4*'Calc - SA'!$A$14)*( 'Calc - SA'!$A$4 - 'Calc - SA'!$A$14) - ('Calc - SA'!$A$4 - 'Calc - SA'!$A$14)*('Calc - SA'!$A$4*'Calc - SA'!$X$14 - 'Calc - SA'!$X$4*'Calc - SA'!$A$14)  )  /  ( ('Calc - SA'!$A$4 - 'Calc - SA'!$A$14)*('Calc - SA'!$X$4 - 'Calc - SA'!$X$14) - ('Calc - SA'!Q$4 - 'Calc - SA'!Q$14)*('Calc - SA'!$A$4 - 'Calc - SA'!$A$14) )</f>
        <v>#REF!</v>
      </c>
      <c r="R25" s="122" t="str">
        <f>(  ('Calc - SA'!$A$4*'Calc - SA'!R$14 - 'Calc - SA'!R$4*'Calc - SA'!$A$14)*( 'Calc - SA'!$A$4 - 'Calc - SA'!$A$14) - ('Calc - SA'!$A$4 - 'Calc - SA'!$A$14)*('Calc - SA'!$A$4*'Calc - SA'!$X$14 - 'Calc - SA'!$X$4*'Calc - SA'!$A$14)  )  /  ( ('Calc - SA'!$A$4 - 'Calc - SA'!$A$14)*('Calc - SA'!$X$4 - 'Calc - SA'!$X$14) - ('Calc - SA'!R$4 - 'Calc - SA'!R$14)*('Calc - SA'!$A$4 - 'Calc - SA'!$A$14) )</f>
        <v>#REF!</v>
      </c>
      <c r="S25" s="122" t="str">
        <f>(  ('Calc - SA'!$A$4*'Calc - SA'!S$14 - 'Calc - SA'!S$4*'Calc - SA'!$A$14)*( 'Calc - SA'!$A$4 - 'Calc - SA'!$A$14) - ('Calc - SA'!$A$4 - 'Calc - SA'!$A$14)*('Calc - SA'!$A$4*'Calc - SA'!$X$14 - 'Calc - SA'!$X$4*'Calc - SA'!$A$14)  )  /  ( ('Calc - SA'!$A$4 - 'Calc - SA'!$A$14)*('Calc - SA'!$X$4 - 'Calc - SA'!$X$14) - ('Calc - SA'!S$4 - 'Calc - SA'!S$14)*('Calc - SA'!$A$4 - 'Calc - SA'!$A$14) )</f>
        <v>#REF!</v>
      </c>
      <c r="T25" s="122" t="str">
        <f>(  ('Calc - SA'!$A$4*'Calc - SA'!T$14 - 'Calc - SA'!T$4*'Calc - SA'!$A$14)*( 'Calc - SA'!$A$4 - 'Calc - SA'!$A$14) - ('Calc - SA'!$A$4 - 'Calc - SA'!$A$14)*('Calc - SA'!$A$4*'Calc - SA'!$X$14 - 'Calc - SA'!$X$4*'Calc - SA'!$A$14)  )  /  ( ('Calc - SA'!$A$4 - 'Calc - SA'!$A$14)*('Calc - SA'!$X$4 - 'Calc - SA'!$X$14) - ('Calc - SA'!T$4 - 'Calc - SA'!T$14)*('Calc - SA'!$A$4 - 'Calc - SA'!$A$14) )</f>
        <v>#REF!</v>
      </c>
      <c r="U25" s="122" t="str">
        <f>(  ('Calc - SA'!$A$4*'Calc - SA'!U$14 - 'Calc - SA'!U$4*'Calc - SA'!$A$14)*( 'Calc - SA'!$A$4 - 'Calc - SA'!$A$14) - ('Calc - SA'!$A$4 - 'Calc - SA'!$A$14)*('Calc - SA'!$A$4*'Calc - SA'!$X$14 - 'Calc - SA'!$X$4*'Calc - SA'!$A$14)  )  /  ( ('Calc - SA'!$A$4 - 'Calc - SA'!$A$14)*('Calc - SA'!$X$4 - 'Calc - SA'!$X$14) - ('Calc - SA'!U$4 - 'Calc - SA'!U$14)*('Calc - SA'!$A$4 - 'Calc - SA'!$A$14) )</f>
        <v>#REF!</v>
      </c>
      <c r="V25" s="122" t="str">
        <f>(  ('Calc - SA'!$A$4*'Calc - SA'!V$14 - 'Calc - SA'!V$4*'Calc - SA'!$A$14)*( 'Calc - SA'!$A$4 - 'Calc - SA'!$A$14) - ('Calc - SA'!$A$4 - 'Calc - SA'!$A$14)*('Calc - SA'!$A$4*'Calc - SA'!$X$14 - 'Calc - SA'!$X$4*'Calc - SA'!$A$14)  )  /  ( ('Calc - SA'!$A$4 - 'Calc - SA'!$A$14)*('Calc - SA'!$X$4 - 'Calc - SA'!$X$14) - ('Calc - SA'!V$4 - 'Calc - SA'!V$14)*('Calc - SA'!$A$4 - 'Calc - SA'!$A$14) )</f>
        <v>#REF!</v>
      </c>
      <c r="W25" s="122" t="str">
        <f>(  ('Calc - SA'!$A$4*'Calc - SA'!W$14 - 'Calc - SA'!W$4*'Calc - SA'!$A$14)*( 'Calc - SA'!$A$4 - 'Calc - SA'!$A$14) - ('Calc - SA'!$A$4 - 'Calc - SA'!$A$14)*('Calc - SA'!$A$4*'Calc - SA'!$X$14 - 'Calc - SA'!$X$4*'Calc - SA'!$A$14)  )  /  ( ('Calc - SA'!$A$4 - 'Calc - SA'!$A$14)*('Calc - SA'!$X$4 - 'Calc - SA'!$X$14) - ('Calc - SA'!W$4 - 'Calc - SA'!W$14)*('Calc - SA'!$A$4 - 'Calc - SA'!$A$14) )</f>
        <v>#REF!</v>
      </c>
      <c r="X25" s="121"/>
      <c r="Y25" s="121"/>
      <c r="Z25" s="121"/>
    </row>
    <row r="26" ht="14.25" customHeight="1">
      <c r="A26" s="119" t="str">
        <f t="shared" si="4"/>
        <v>#REF!</v>
      </c>
      <c r="B26" s="122" t="str">
        <f>(  ('Calc - SA'!$A$4*'Calc - SA'!B$14 - 'Calc - SA'!B$4*'Calc - SA'!$A$14)*( 'Calc - SA'!$A$4 - 'Calc - SA'!$A$14) - ('Calc - SA'!$A$4 - 'Calc - SA'!$A$14)*('Calc - SA'!$A$4*'Calc - SA'!$Y$14 - 'Calc - SA'!$Y$4*'Calc - SA'!$A$14)  )  /  ( ('Calc - SA'!$A$4 - 'Calc - SA'!$A$14)*('Calc - SA'!$Y$4 - 'Calc - SA'!$Y$14) - ('Calc - SA'!B$4 - 'Calc - SA'!B$14)*('Calc - SA'!$A$4 - 'Calc - SA'!$A$14) )</f>
        <v>#REF!</v>
      </c>
      <c r="C26" s="122" t="str">
        <f>(  ('Calc - SA'!$A$4*'Calc - SA'!C$14 - 'Calc - SA'!C$4*'Calc - SA'!$A$14)*( 'Calc - SA'!$A$4 - 'Calc - SA'!$A$14) - ('Calc - SA'!$A$4 - 'Calc - SA'!$A$14)*('Calc - SA'!$A$4*'Calc - SA'!$Y$14 - 'Calc - SA'!$Y$4*'Calc - SA'!$A$14)  )  /  ( ('Calc - SA'!$A$4 - 'Calc - SA'!$A$14)*('Calc - SA'!$Y$4 - 'Calc - SA'!$Y$14) - ('Calc - SA'!C$4 - 'Calc - SA'!C$14)*('Calc - SA'!$A$4 - 'Calc - SA'!$A$14) )</f>
        <v>#REF!</v>
      </c>
      <c r="D26" s="122" t="str">
        <f>(  ('Calc - SA'!$A$4*'Calc - SA'!D$14 - 'Calc - SA'!D$4*'Calc - SA'!$A$14)*( 'Calc - SA'!$A$4 - 'Calc - SA'!$A$14) - ('Calc - SA'!$A$4 - 'Calc - SA'!$A$14)*('Calc - SA'!$A$4*'Calc - SA'!$Y$14 - 'Calc - SA'!$Y$4*'Calc - SA'!$A$14)  )  /  ( ('Calc - SA'!$A$4 - 'Calc - SA'!$A$14)*('Calc - SA'!$Y$4 - 'Calc - SA'!$Y$14) - ('Calc - SA'!D$4 - 'Calc - SA'!D$14)*('Calc - SA'!$A$4 - 'Calc - SA'!$A$14) )</f>
        <v>#REF!</v>
      </c>
      <c r="E26" s="122" t="str">
        <f>(  ('Calc - SA'!$A$4*'Calc - SA'!E$14 - 'Calc - SA'!E$4*'Calc - SA'!$A$14)*( 'Calc - SA'!$A$4 - 'Calc - SA'!$A$14) - ('Calc - SA'!$A$4 - 'Calc - SA'!$A$14)*('Calc - SA'!$A$4*'Calc - SA'!$Y$14 - 'Calc - SA'!$Y$4*'Calc - SA'!$A$14)  )  /  ( ('Calc - SA'!$A$4 - 'Calc - SA'!$A$14)*('Calc - SA'!$Y$4 - 'Calc - SA'!$Y$14) - ('Calc - SA'!E$4 - 'Calc - SA'!E$14)*('Calc - SA'!$A$4 - 'Calc - SA'!$A$14) )</f>
        <v>#REF!</v>
      </c>
      <c r="F26" s="122" t="str">
        <f>(  ('Calc - SA'!$A$4*'Calc - SA'!F$14 - 'Calc - SA'!F$4*'Calc - SA'!$A$14)*( 'Calc - SA'!$A$4 - 'Calc - SA'!$A$14) - ('Calc - SA'!$A$4 - 'Calc - SA'!$A$14)*('Calc - SA'!$A$4*'Calc - SA'!$Y$14 - 'Calc - SA'!$Y$4*'Calc - SA'!$A$14)  )  /  ( ('Calc - SA'!$A$4 - 'Calc - SA'!$A$14)*('Calc - SA'!$Y$4 - 'Calc - SA'!$Y$14) - ('Calc - SA'!F$4 - 'Calc - SA'!F$14)*('Calc - SA'!$A$4 - 'Calc - SA'!$A$14) )</f>
        <v>#REF!</v>
      </c>
      <c r="G26" s="122" t="str">
        <f>(  ('Calc - SA'!$A$4*'Calc - SA'!G$14 - 'Calc - SA'!G$4*'Calc - SA'!$A$14)*( 'Calc - SA'!$A$4 - 'Calc - SA'!$A$14) - ('Calc - SA'!$A$4 - 'Calc - SA'!$A$14)*('Calc - SA'!$A$4*'Calc - SA'!$Y$14 - 'Calc - SA'!$Y$4*'Calc - SA'!$A$14)  )  /  ( ('Calc - SA'!$A$4 - 'Calc - SA'!$A$14)*('Calc - SA'!$Y$4 - 'Calc - SA'!$Y$14) - ('Calc - SA'!G$4 - 'Calc - SA'!G$14)*('Calc - SA'!$A$4 - 'Calc - SA'!$A$14) )</f>
        <v>#REF!</v>
      </c>
      <c r="H26" s="122" t="str">
        <f>(  ('Calc - SA'!$A$4*'Calc - SA'!H$14 - 'Calc - SA'!H$4*'Calc - SA'!$A$14)*( 'Calc - SA'!$A$4 - 'Calc - SA'!$A$14) - ('Calc - SA'!$A$4 - 'Calc - SA'!$A$14)*('Calc - SA'!$A$4*'Calc - SA'!$Y$14 - 'Calc - SA'!$Y$4*'Calc - SA'!$A$14)  )  /  ( ('Calc - SA'!$A$4 - 'Calc - SA'!$A$14)*('Calc - SA'!$Y$4 - 'Calc - SA'!$Y$14) - ('Calc - SA'!H$4 - 'Calc - SA'!H$14)*('Calc - SA'!$A$4 - 'Calc - SA'!$A$14) )</f>
        <v>#REF!</v>
      </c>
      <c r="I26" s="122" t="str">
        <f>(  ('Calc - SA'!$A$4*'Calc - SA'!I$14 - 'Calc - SA'!I$4*'Calc - SA'!$A$14)*( 'Calc - SA'!$A$4 - 'Calc - SA'!$A$14) - ('Calc - SA'!$A$4 - 'Calc - SA'!$A$14)*('Calc - SA'!$A$4*'Calc - SA'!$Y$14 - 'Calc - SA'!$Y$4*'Calc - SA'!$A$14)  )  /  ( ('Calc - SA'!$A$4 - 'Calc - SA'!$A$14)*('Calc - SA'!$Y$4 - 'Calc - SA'!$Y$14) - ('Calc - SA'!I$4 - 'Calc - SA'!I$14)*('Calc - SA'!$A$4 - 'Calc - SA'!$A$14) )</f>
        <v>#REF!</v>
      </c>
      <c r="J26" s="122" t="str">
        <f>(  ('Calc - SA'!$A$4*'Calc - SA'!J$14 - 'Calc - SA'!J$4*'Calc - SA'!$A$14)*( 'Calc - SA'!$A$4 - 'Calc - SA'!$A$14) - ('Calc - SA'!$A$4 - 'Calc - SA'!$A$14)*('Calc - SA'!$A$4*'Calc - SA'!$Y$14 - 'Calc - SA'!$Y$4*'Calc - SA'!$A$14)  )  /  ( ('Calc - SA'!$A$4 - 'Calc - SA'!$A$14)*('Calc - SA'!$Y$4 - 'Calc - SA'!$Y$14) - ('Calc - SA'!J$4 - 'Calc - SA'!J$14)*('Calc - SA'!$A$4 - 'Calc - SA'!$A$14) )</f>
        <v>#REF!</v>
      </c>
      <c r="K26" s="122" t="str">
        <f>(  ('Calc - SA'!$A$4*'Calc - SA'!K$14 - 'Calc - SA'!K$4*'Calc - SA'!$A$14)*( 'Calc - SA'!$A$4 - 'Calc - SA'!$A$14) - ('Calc - SA'!$A$4 - 'Calc - SA'!$A$14)*('Calc - SA'!$A$4*'Calc - SA'!$Y$14 - 'Calc - SA'!$Y$4*'Calc - SA'!$A$14)  )  /  ( ('Calc - SA'!$A$4 - 'Calc - SA'!$A$14)*('Calc - SA'!$Y$4 - 'Calc - SA'!$Y$14) - ('Calc - SA'!K$4 - 'Calc - SA'!K$14)*('Calc - SA'!$A$4 - 'Calc - SA'!$A$14) )</f>
        <v>#REF!</v>
      </c>
      <c r="L26" s="122" t="str">
        <f>(  ('Calc - SA'!$A$4*'Calc - SA'!L$14 - 'Calc - SA'!L$4*'Calc - SA'!$A$14)*( 'Calc - SA'!$A$4 - 'Calc - SA'!$A$14) - ('Calc - SA'!$A$4 - 'Calc - SA'!$A$14)*('Calc - SA'!$A$4*'Calc - SA'!$Y$14 - 'Calc - SA'!$Y$4*'Calc - SA'!$A$14)  )  /  ( ('Calc - SA'!$A$4 - 'Calc - SA'!$A$14)*('Calc - SA'!$Y$4 - 'Calc - SA'!$Y$14) - ('Calc - SA'!L$4 - 'Calc - SA'!L$14)*('Calc - SA'!$A$4 - 'Calc - SA'!$A$14) )</f>
        <v>#REF!</v>
      </c>
      <c r="M26" s="122" t="str">
        <f>(  ('Calc - SA'!$A$4*'Calc - SA'!M$14 - 'Calc - SA'!M$4*'Calc - SA'!$A$14)*( 'Calc - SA'!$A$4 - 'Calc - SA'!$A$14) - ('Calc - SA'!$A$4 - 'Calc - SA'!$A$14)*('Calc - SA'!$A$4*'Calc - SA'!$Y$14 - 'Calc - SA'!$Y$4*'Calc - SA'!$A$14)  )  /  ( ('Calc - SA'!$A$4 - 'Calc - SA'!$A$14)*('Calc - SA'!$Y$4 - 'Calc - SA'!$Y$14) - ('Calc - SA'!M$4 - 'Calc - SA'!M$14)*('Calc - SA'!$A$4 - 'Calc - SA'!$A$14) )</f>
        <v>#REF!</v>
      </c>
      <c r="N26" s="122" t="str">
        <f>(  ('Calc - SA'!$A$4*'Calc - SA'!N$14 - 'Calc - SA'!N$4*'Calc - SA'!$A$14)*( 'Calc - SA'!$A$4 - 'Calc - SA'!$A$14) - ('Calc - SA'!$A$4 - 'Calc - SA'!$A$14)*('Calc - SA'!$A$4*'Calc - SA'!$Y$14 - 'Calc - SA'!$Y$4*'Calc - SA'!$A$14)  )  /  ( ('Calc - SA'!$A$4 - 'Calc - SA'!$A$14)*('Calc - SA'!$Y$4 - 'Calc - SA'!$Y$14) - ('Calc - SA'!N$4 - 'Calc - SA'!N$14)*('Calc - SA'!$A$4 - 'Calc - SA'!$A$14) )</f>
        <v>#REF!</v>
      </c>
      <c r="O26" s="122" t="str">
        <f>(  ('Calc - SA'!$A$4*'Calc - SA'!O$14 - 'Calc - SA'!O$4*'Calc - SA'!$A$14)*( 'Calc - SA'!$A$4 - 'Calc - SA'!$A$14) - ('Calc - SA'!$A$4 - 'Calc - SA'!$A$14)*('Calc - SA'!$A$4*'Calc - SA'!$Y$14 - 'Calc - SA'!$Y$4*'Calc - SA'!$A$14)  )  /  ( ('Calc - SA'!$A$4 - 'Calc - SA'!$A$14)*('Calc - SA'!$Y$4 - 'Calc - SA'!$Y$14) - ('Calc - SA'!O$4 - 'Calc - SA'!O$14)*('Calc - SA'!$A$4 - 'Calc - SA'!$A$14) )</f>
        <v>#REF!</v>
      </c>
      <c r="P26" s="122" t="str">
        <f>(  ('Calc - SA'!$A$4*'Calc - SA'!P$14 - 'Calc - SA'!P$4*'Calc - SA'!$A$14)*( 'Calc - SA'!$A$4 - 'Calc - SA'!$A$14) - ('Calc - SA'!$A$4 - 'Calc - SA'!$A$14)*('Calc - SA'!$A$4*'Calc - SA'!$Y$14 - 'Calc - SA'!$Y$4*'Calc - SA'!$A$14)  )  /  ( ('Calc - SA'!$A$4 - 'Calc - SA'!$A$14)*('Calc - SA'!$Y$4 - 'Calc - SA'!$Y$14) - ('Calc - SA'!P$4 - 'Calc - SA'!P$14)*('Calc - SA'!$A$4 - 'Calc - SA'!$A$14) )</f>
        <v>#REF!</v>
      </c>
      <c r="Q26" s="122" t="str">
        <f>(  ('Calc - SA'!$A$4*'Calc - SA'!Q$14 - 'Calc - SA'!Q$4*'Calc - SA'!$A$14)*( 'Calc - SA'!$A$4 - 'Calc - SA'!$A$14) - ('Calc - SA'!$A$4 - 'Calc - SA'!$A$14)*('Calc - SA'!$A$4*'Calc - SA'!$Y$14 - 'Calc - SA'!$Y$4*'Calc - SA'!$A$14)  )  /  ( ('Calc - SA'!$A$4 - 'Calc - SA'!$A$14)*('Calc - SA'!$Y$4 - 'Calc - SA'!$Y$14) - ('Calc - SA'!Q$4 - 'Calc - SA'!Q$14)*('Calc - SA'!$A$4 - 'Calc - SA'!$A$14) )</f>
        <v>#REF!</v>
      </c>
      <c r="R26" s="122" t="str">
        <f>(  ('Calc - SA'!$A$4*'Calc - SA'!R$14 - 'Calc - SA'!R$4*'Calc - SA'!$A$14)*( 'Calc - SA'!$A$4 - 'Calc - SA'!$A$14) - ('Calc - SA'!$A$4 - 'Calc - SA'!$A$14)*('Calc - SA'!$A$4*'Calc - SA'!$Y$14 - 'Calc - SA'!$Y$4*'Calc - SA'!$A$14)  )  /  ( ('Calc - SA'!$A$4 - 'Calc - SA'!$A$14)*('Calc - SA'!$Y$4 - 'Calc - SA'!$Y$14) - ('Calc - SA'!R$4 - 'Calc - SA'!R$14)*('Calc - SA'!$A$4 - 'Calc - SA'!$A$14) )</f>
        <v>#REF!</v>
      </c>
      <c r="S26" s="122" t="str">
        <f>(  ('Calc - SA'!$A$4*'Calc - SA'!S$14 - 'Calc - SA'!S$4*'Calc - SA'!$A$14)*( 'Calc - SA'!$A$4 - 'Calc - SA'!$A$14) - ('Calc - SA'!$A$4 - 'Calc - SA'!$A$14)*('Calc - SA'!$A$4*'Calc - SA'!$Y$14 - 'Calc - SA'!$Y$4*'Calc - SA'!$A$14)  )  /  ( ('Calc - SA'!$A$4 - 'Calc - SA'!$A$14)*('Calc - SA'!$Y$4 - 'Calc - SA'!$Y$14) - ('Calc - SA'!S$4 - 'Calc - SA'!S$14)*('Calc - SA'!$A$4 - 'Calc - SA'!$A$14) )</f>
        <v>#REF!</v>
      </c>
      <c r="T26" s="122" t="str">
        <f>(  ('Calc - SA'!$A$4*'Calc - SA'!T$14 - 'Calc - SA'!T$4*'Calc - SA'!$A$14)*( 'Calc - SA'!$A$4 - 'Calc - SA'!$A$14) - ('Calc - SA'!$A$4 - 'Calc - SA'!$A$14)*('Calc - SA'!$A$4*'Calc - SA'!$Y$14 - 'Calc - SA'!$Y$4*'Calc - SA'!$A$14)  )  /  ( ('Calc - SA'!$A$4 - 'Calc - SA'!$A$14)*('Calc - SA'!$Y$4 - 'Calc - SA'!$Y$14) - ('Calc - SA'!T$4 - 'Calc - SA'!T$14)*('Calc - SA'!$A$4 - 'Calc - SA'!$A$14) )</f>
        <v>#REF!</v>
      </c>
      <c r="U26" s="122" t="str">
        <f>(  ('Calc - SA'!$A$4*'Calc - SA'!U$14 - 'Calc - SA'!U$4*'Calc - SA'!$A$14)*( 'Calc - SA'!$A$4 - 'Calc - SA'!$A$14) - ('Calc - SA'!$A$4 - 'Calc - SA'!$A$14)*('Calc - SA'!$A$4*'Calc - SA'!$Y$14 - 'Calc - SA'!$Y$4*'Calc - SA'!$A$14)  )  /  ( ('Calc - SA'!$A$4 - 'Calc - SA'!$A$14)*('Calc - SA'!$Y$4 - 'Calc - SA'!$Y$14) - ('Calc - SA'!U$4 - 'Calc - SA'!U$14)*('Calc - SA'!$A$4 - 'Calc - SA'!$A$14) )</f>
        <v>#REF!</v>
      </c>
      <c r="V26" s="122" t="str">
        <f>(  ('Calc - SA'!$A$4*'Calc - SA'!V$14 - 'Calc - SA'!V$4*'Calc - SA'!$A$14)*( 'Calc - SA'!$A$4 - 'Calc - SA'!$A$14) - ('Calc - SA'!$A$4 - 'Calc - SA'!$A$14)*('Calc - SA'!$A$4*'Calc - SA'!$Y$14 - 'Calc - SA'!$Y$4*'Calc - SA'!$A$14)  )  /  ( ('Calc - SA'!$A$4 - 'Calc - SA'!$A$14)*('Calc - SA'!$Y$4 - 'Calc - SA'!$Y$14) - ('Calc - SA'!V$4 - 'Calc - SA'!V$14)*('Calc - SA'!$A$4 - 'Calc - SA'!$A$14) )</f>
        <v>#REF!</v>
      </c>
      <c r="W26" s="122" t="str">
        <f>(  ('Calc - SA'!$A$4*'Calc - SA'!W$14 - 'Calc - SA'!W$4*'Calc - SA'!$A$14)*( 'Calc - SA'!$A$4 - 'Calc - SA'!$A$14) - ('Calc - SA'!$A$4 - 'Calc - SA'!$A$14)*('Calc - SA'!$A$4*'Calc - SA'!$Y$14 - 'Calc - SA'!$Y$4*'Calc - SA'!$A$14)  )  /  ( ('Calc - SA'!$A$4 - 'Calc - SA'!$A$14)*('Calc - SA'!$Y$4 - 'Calc - SA'!$Y$14) - ('Calc - SA'!W$4 - 'Calc - SA'!W$14)*('Calc - SA'!$A$4 - 'Calc - SA'!$A$14) )</f>
        <v>#REF!</v>
      </c>
      <c r="X26" s="122" t="str">
        <f>(  ('Calc - SA'!$A$4*'Calc - SA'!X$14 - 'Calc - SA'!X$4*'Calc - SA'!$A$14)*( 'Calc - SA'!$A$4 - 'Calc - SA'!$A$14) - ('Calc - SA'!$A$4 - 'Calc - SA'!$A$14)*('Calc - SA'!$A$4*'Calc - SA'!$Y$14 - 'Calc - SA'!$Y$4*'Calc - SA'!$A$14)  )  /  ( ('Calc - SA'!$A$4 - 'Calc - SA'!$A$14)*('Calc - SA'!$Y$4 - 'Calc - SA'!$Y$14) - ('Calc - SA'!X$4 - 'Calc - SA'!X$14)*('Calc - SA'!$A$4 - 'Calc - SA'!$A$14) )</f>
        <v>#REF!</v>
      </c>
      <c r="Y26" s="121"/>
      <c r="Z26" s="121"/>
    </row>
    <row r="27" ht="14.25" customHeight="1">
      <c r="A27" s="119" t="str">
        <f t="shared" si="4"/>
        <v>#REF!</v>
      </c>
      <c r="B27" s="122" t="str">
        <f>(  ('Calc - SA'!$A$4*'Calc - SA'!B$14 - 'Calc - SA'!B$4*'Calc - SA'!$A$14)*( 'Calc - SA'!$A$4 - 'Calc - SA'!$A$14) - ('Calc - SA'!$A$4 - 'Calc - SA'!$A$14)*('Calc - SA'!$A$4*'Calc - SA'!$Z$14 - 'Calc - SA'!$Z$4*'Calc - SA'!$A$14)  )  /  ( ('Calc - SA'!$A$4 - 'Calc - SA'!$A$14)*('Calc - SA'!$Z$4 - 'Calc - SA'!$Z$14) - ('Calc - SA'!B$4 - 'Calc - SA'!B$14)*('Calc - SA'!$A$4 - 'Calc - SA'!$A$14) )</f>
        <v>#REF!</v>
      </c>
      <c r="C27" s="122" t="str">
        <f>(  ('Calc - SA'!$A$4*'Calc - SA'!C$14 - 'Calc - SA'!C$4*'Calc - SA'!$A$14)*( 'Calc - SA'!$A$4 - 'Calc - SA'!$A$14) - ('Calc - SA'!$A$4 - 'Calc - SA'!$A$14)*('Calc - SA'!$A$4*'Calc - SA'!$Z$14 - 'Calc - SA'!$Z$4*'Calc - SA'!$A$14)  )  /  ( ('Calc - SA'!$A$4 - 'Calc - SA'!$A$14)*('Calc - SA'!$Z$4 - 'Calc - SA'!$Z$14) - ('Calc - SA'!C$4 - 'Calc - SA'!C$14)*('Calc - SA'!$A$4 - 'Calc - SA'!$A$14) )</f>
        <v>#REF!</v>
      </c>
      <c r="D27" s="122" t="str">
        <f>(  ('Calc - SA'!$A$4*'Calc - SA'!D$14 - 'Calc - SA'!D$4*'Calc - SA'!$A$14)*( 'Calc - SA'!$A$4 - 'Calc - SA'!$A$14) - ('Calc - SA'!$A$4 - 'Calc - SA'!$A$14)*('Calc - SA'!$A$4*'Calc - SA'!$Z$14 - 'Calc - SA'!$Z$4*'Calc - SA'!$A$14)  )  /  ( ('Calc - SA'!$A$4 - 'Calc - SA'!$A$14)*('Calc - SA'!$Z$4 - 'Calc - SA'!$Z$14) - ('Calc - SA'!D$4 - 'Calc - SA'!D$14)*('Calc - SA'!$A$4 - 'Calc - SA'!$A$14) )</f>
        <v>#REF!</v>
      </c>
      <c r="E27" s="122" t="str">
        <f>(  ('Calc - SA'!$A$4*'Calc - SA'!E$14 - 'Calc - SA'!E$4*'Calc - SA'!$A$14)*( 'Calc - SA'!$A$4 - 'Calc - SA'!$A$14) - ('Calc - SA'!$A$4 - 'Calc - SA'!$A$14)*('Calc - SA'!$A$4*'Calc - SA'!$Z$14 - 'Calc - SA'!$Z$4*'Calc - SA'!$A$14)  )  /  ( ('Calc - SA'!$A$4 - 'Calc - SA'!$A$14)*('Calc - SA'!$Z$4 - 'Calc - SA'!$Z$14) - ('Calc - SA'!E$4 - 'Calc - SA'!E$14)*('Calc - SA'!$A$4 - 'Calc - SA'!$A$14) )</f>
        <v>#REF!</v>
      </c>
      <c r="F27" s="122" t="str">
        <f>(  ('Calc - SA'!$A$4*'Calc - SA'!F$14 - 'Calc - SA'!F$4*'Calc - SA'!$A$14)*( 'Calc - SA'!$A$4 - 'Calc - SA'!$A$14) - ('Calc - SA'!$A$4 - 'Calc - SA'!$A$14)*('Calc - SA'!$A$4*'Calc - SA'!$Z$14 - 'Calc - SA'!$Z$4*'Calc - SA'!$A$14)  )  /  ( ('Calc - SA'!$A$4 - 'Calc - SA'!$A$14)*('Calc - SA'!$Z$4 - 'Calc - SA'!$Z$14) - ('Calc - SA'!F$4 - 'Calc - SA'!F$14)*('Calc - SA'!$A$4 - 'Calc - SA'!$A$14) )</f>
        <v>#REF!</v>
      </c>
      <c r="G27" s="122" t="str">
        <f>(  ('Calc - SA'!$A$4*'Calc - SA'!G$14 - 'Calc - SA'!G$4*'Calc - SA'!$A$14)*( 'Calc - SA'!$A$4 - 'Calc - SA'!$A$14) - ('Calc - SA'!$A$4 - 'Calc - SA'!$A$14)*('Calc - SA'!$A$4*'Calc - SA'!$Z$14 - 'Calc - SA'!$Z$4*'Calc - SA'!$A$14)  )  /  ( ('Calc - SA'!$A$4 - 'Calc - SA'!$A$14)*('Calc - SA'!$Z$4 - 'Calc - SA'!$Z$14) - ('Calc - SA'!G$4 - 'Calc - SA'!G$14)*('Calc - SA'!$A$4 - 'Calc - SA'!$A$14) )</f>
        <v>#REF!</v>
      </c>
      <c r="H27" s="122" t="str">
        <f>(  ('Calc - SA'!$A$4*'Calc - SA'!H$14 - 'Calc - SA'!H$4*'Calc - SA'!$A$14)*( 'Calc - SA'!$A$4 - 'Calc - SA'!$A$14) - ('Calc - SA'!$A$4 - 'Calc - SA'!$A$14)*('Calc - SA'!$A$4*'Calc - SA'!$Z$14 - 'Calc - SA'!$Z$4*'Calc - SA'!$A$14)  )  /  ( ('Calc - SA'!$A$4 - 'Calc - SA'!$A$14)*('Calc - SA'!$Z$4 - 'Calc - SA'!$Z$14) - ('Calc - SA'!H$4 - 'Calc - SA'!H$14)*('Calc - SA'!$A$4 - 'Calc - SA'!$A$14) )</f>
        <v>#REF!</v>
      </c>
      <c r="I27" s="122" t="str">
        <f>(  ('Calc - SA'!$A$4*'Calc - SA'!I$14 - 'Calc - SA'!I$4*'Calc - SA'!$A$14)*( 'Calc - SA'!$A$4 - 'Calc - SA'!$A$14) - ('Calc - SA'!$A$4 - 'Calc - SA'!$A$14)*('Calc - SA'!$A$4*'Calc - SA'!$Z$14 - 'Calc - SA'!$Z$4*'Calc - SA'!$A$14)  )  /  ( ('Calc - SA'!$A$4 - 'Calc - SA'!$A$14)*('Calc - SA'!$Z$4 - 'Calc - SA'!$Z$14) - ('Calc - SA'!I$4 - 'Calc - SA'!I$14)*('Calc - SA'!$A$4 - 'Calc - SA'!$A$14) )</f>
        <v>#REF!</v>
      </c>
      <c r="J27" s="122" t="str">
        <f>(  ('Calc - SA'!$A$4*'Calc - SA'!J$14 - 'Calc - SA'!J$4*'Calc - SA'!$A$14)*( 'Calc - SA'!$A$4 - 'Calc - SA'!$A$14) - ('Calc - SA'!$A$4 - 'Calc - SA'!$A$14)*('Calc - SA'!$A$4*'Calc - SA'!$Z$14 - 'Calc - SA'!$Z$4*'Calc - SA'!$A$14)  )  /  ( ('Calc - SA'!$A$4 - 'Calc - SA'!$A$14)*('Calc - SA'!$Z$4 - 'Calc - SA'!$Z$14) - ('Calc - SA'!J$4 - 'Calc - SA'!J$14)*('Calc - SA'!$A$4 - 'Calc - SA'!$A$14) )</f>
        <v>#REF!</v>
      </c>
      <c r="K27" s="122" t="str">
        <f>(  ('Calc - SA'!$A$4*'Calc - SA'!K$14 - 'Calc - SA'!K$4*'Calc - SA'!$A$14)*( 'Calc - SA'!$A$4 - 'Calc - SA'!$A$14) - ('Calc - SA'!$A$4 - 'Calc - SA'!$A$14)*('Calc - SA'!$A$4*'Calc - SA'!$Z$14 - 'Calc - SA'!$Z$4*'Calc - SA'!$A$14)  )  /  ( ('Calc - SA'!$A$4 - 'Calc - SA'!$A$14)*('Calc - SA'!$Z$4 - 'Calc - SA'!$Z$14) - ('Calc - SA'!K$4 - 'Calc - SA'!K$14)*('Calc - SA'!$A$4 - 'Calc - SA'!$A$14) )</f>
        <v>#REF!</v>
      </c>
      <c r="L27" s="122" t="str">
        <f>(  ('Calc - SA'!$A$4*'Calc - SA'!L$14 - 'Calc - SA'!L$4*'Calc - SA'!$A$14)*( 'Calc - SA'!$A$4 - 'Calc - SA'!$A$14) - ('Calc - SA'!$A$4 - 'Calc - SA'!$A$14)*('Calc - SA'!$A$4*'Calc - SA'!$Z$14 - 'Calc - SA'!$Z$4*'Calc - SA'!$A$14)  )  /  ( ('Calc - SA'!$A$4 - 'Calc - SA'!$A$14)*('Calc - SA'!$Z$4 - 'Calc - SA'!$Z$14) - ('Calc - SA'!L$4 - 'Calc - SA'!L$14)*('Calc - SA'!$A$4 - 'Calc - SA'!$A$14) )</f>
        <v>#REF!</v>
      </c>
      <c r="M27" s="122" t="str">
        <f>(  ('Calc - SA'!$A$4*'Calc - SA'!M$14 - 'Calc - SA'!M$4*'Calc - SA'!$A$14)*( 'Calc - SA'!$A$4 - 'Calc - SA'!$A$14) - ('Calc - SA'!$A$4 - 'Calc - SA'!$A$14)*('Calc - SA'!$A$4*'Calc - SA'!$Z$14 - 'Calc - SA'!$Z$4*'Calc - SA'!$A$14)  )  /  ( ('Calc - SA'!$A$4 - 'Calc - SA'!$A$14)*('Calc - SA'!$Z$4 - 'Calc - SA'!$Z$14) - ('Calc - SA'!M$4 - 'Calc - SA'!M$14)*('Calc - SA'!$A$4 - 'Calc - SA'!$A$14) )</f>
        <v>#REF!</v>
      </c>
      <c r="N27" s="122" t="str">
        <f>(  ('Calc - SA'!$A$4*'Calc - SA'!N$14 - 'Calc - SA'!N$4*'Calc - SA'!$A$14)*( 'Calc - SA'!$A$4 - 'Calc - SA'!$A$14) - ('Calc - SA'!$A$4 - 'Calc - SA'!$A$14)*('Calc - SA'!$A$4*'Calc - SA'!$Z$14 - 'Calc - SA'!$Z$4*'Calc - SA'!$A$14)  )  /  ( ('Calc - SA'!$A$4 - 'Calc - SA'!$A$14)*('Calc - SA'!$Z$4 - 'Calc - SA'!$Z$14) - ('Calc - SA'!N$4 - 'Calc - SA'!N$14)*('Calc - SA'!$A$4 - 'Calc - SA'!$A$14) )</f>
        <v>#REF!</v>
      </c>
      <c r="O27" s="122" t="str">
        <f>(  ('Calc - SA'!$A$4*'Calc - SA'!O$14 - 'Calc - SA'!O$4*'Calc - SA'!$A$14)*( 'Calc - SA'!$A$4 - 'Calc - SA'!$A$14) - ('Calc - SA'!$A$4 - 'Calc - SA'!$A$14)*('Calc - SA'!$A$4*'Calc - SA'!$Z$14 - 'Calc - SA'!$Z$4*'Calc - SA'!$A$14)  )  /  ( ('Calc - SA'!$A$4 - 'Calc - SA'!$A$14)*('Calc - SA'!$Z$4 - 'Calc - SA'!$Z$14) - ('Calc - SA'!O$4 - 'Calc - SA'!O$14)*('Calc - SA'!$A$4 - 'Calc - SA'!$A$14) )</f>
        <v>#REF!</v>
      </c>
      <c r="P27" s="122" t="str">
        <f>(  ('Calc - SA'!$A$4*'Calc - SA'!P$14 - 'Calc - SA'!P$4*'Calc - SA'!$A$14)*( 'Calc - SA'!$A$4 - 'Calc - SA'!$A$14) - ('Calc - SA'!$A$4 - 'Calc - SA'!$A$14)*('Calc - SA'!$A$4*'Calc - SA'!$Z$14 - 'Calc - SA'!$Z$4*'Calc - SA'!$A$14)  )  /  ( ('Calc - SA'!$A$4 - 'Calc - SA'!$A$14)*('Calc - SA'!$Z$4 - 'Calc - SA'!$Z$14) - ('Calc - SA'!P$4 - 'Calc - SA'!P$14)*('Calc - SA'!$A$4 - 'Calc - SA'!$A$14) )</f>
        <v>#REF!</v>
      </c>
      <c r="Q27" s="122" t="str">
        <f>(  ('Calc - SA'!$A$4*'Calc - SA'!Q$14 - 'Calc - SA'!Q$4*'Calc - SA'!$A$14)*( 'Calc - SA'!$A$4 - 'Calc - SA'!$A$14) - ('Calc - SA'!$A$4 - 'Calc - SA'!$A$14)*('Calc - SA'!$A$4*'Calc - SA'!$Z$14 - 'Calc - SA'!$Z$4*'Calc - SA'!$A$14)  )  /  ( ('Calc - SA'!$A$4 - 'Calc - SA'!$A$14)*('Calc - SA'!$Z$4 - 'Calc - SA'!$Z$14) - ('Calc - SA'!Q$4 - 'Calc - SA'!Q$14)*('Calc - SA'!$A$4 - 'Calc - SA'!$A$14) )</f>
        <v>#REF!</v>
      </c>
      <c r="R27" s="122" t="str">
        <f>(  ('Calc - SA'!$A$4*'Calc - SA'!R$14 - 'Calc - SA'!R$4*'Calc - SA'!$A$14)*( 'Calc - SA'!$A$4 - 'Calc - SA'!$A$14) - ('Calc - SA'!$A$4 - 'Calc - SA'!$A$14)*('Calc - SA'!$A$4*'Calc - SA'!$Z$14 - 'Calc - SA'!$Z$4*'Calc - SA'!$A$14)  )  /  ( ('Calc - SA'!$A$4 - 'Calc - SA'!$A$14)*('Calc - SA'!$Z$4 - 'Calc - SA'!$Z$14) - ('Calc - SA'!R$4 - 'Calc - SA'!R$14)*('Calc - SA'!$A$4 - 'Calc - SA'!$A$14) )</f>
        <v>#REF!</v>
      </c>
      <c r="S27" s="122" t="str">
        <f>(  ('Calc - SA'!$A$4*'Calc - SA'!S$14 - 'Calc - SA'!S$4*'Calc - SA'!$A$14)*( 'Calc - SA'!$A$4 - 'Calc - SA'!$A$14) - ('Calc - SA'!$A$4 - 'Calc - SA'!$A$14)*('Calc - SA'!$A$4*'Calc - SA'!$Z$14 - 'Calc - SA'!$Z$4*'Calc - SA'!$A$14)  )  /  ( ('Calc - SA'!$A$4 - 'Calc - SA'!$A$14)*('Calc - SA'!$Z$4 - 'Calc - SA'!$Z$14) - ('Calc - SA'!S$4 - 'Calc - SA'!S$14)*('Calc - SA'!$A$4 - 'Calc - SA'!$A$14) )</f>
        <v>#REF!</v>
      </c>
      <c r="T27" s="122" t="str">
        <f>(  ('Calc - SA'!$A$4*'Calc - SA'!T$14 - 'Calc - SA'!T$4*'Calc - SA'!$A$14)*( 'Calc - SA'!$A$4 - 'Calc - SA'!$A$14) - ('Calc - SA'!$A$4 - 'Calc - SA'!$A$14)*('Calc - SA'!$A$4*'Calc - SA'!$Z$14 - 'Calc - SA'!$Z$4*'Calc - SA'!$A$14)  )  /  ( ('Calc - SA'!$A$4 - 'Calc - SA'!$A$14)*('Calc - SA'!$Z$4 - 'Calc - SA'!$Z$14) - ('Calc - SA'!T$4 - 'Calc - SA'!T$14)*('Calc - SA'!$A$4 - 'Calc - SA'!$A$14) )</f>
        <v>#REF!</v>
      </c>
      <c r="U27" s="122" t="str">
        <f>(  ('Calc - SA'!$A$4*'Calc - SA'!U$14 - 'Calc - SA'!U$4*'Calc - SA'!$A$14)*( 'Calc - SA'!$A$4 - 'Calc - SA'!$A$14) - ('Calc - SA'!$A$4 - 'Calc - SA'!$A$14)*('Calc - SA'!$A$4*'Calc - SA'!$Z$14 - 'Calc - SA'!$Z$4*'Calc - SA'!$A$14)  )  /  ( ('Calc - SA'!$A$4 - 'Calc - SA'!$A$14)*('Calc - SA'!$Z$4 - 'Calc - SA'!$Z$14) - ('Calc - SA'!U$4 - 'Calc - SA'!U$14)*('Calc - SA'!$A$4 - 'Calc - SA'!$A$14) )</f>
        <v>#REF!</v>
      </c>
      <c r="V27" s="122" t="str">
        <f>(  ('Calc - SA'!$A$4*'Calc - SA'!V$14 - 'Calc - SA'!V$4*'Calc - SA'!$A$14)*( 'Calc - SA'!$A$4 - 'Calc - SA'!$A$14) - ('Calc - SA'!$A$4 - 'Calc - SA'!$A$14)*('Calc - SA'!$A$4*'Calc - SA'!$Z$14 - 'Calc - SA'!$Z$4*'Calc - SA'!$A$14)  )  /  ( ('Calc - SA'!$A$4 - 'Calc - SA'!$A$14)*('Calc - SA'!$Z$4 - 'Calc - SA'!$Z$14) - ('Calc - SA'!V$4 - 'Calc - SA'!V$14)*('Calc - SA'!$A$4 - 'Calc - SA'!$A$14) )</f>
        <v>#REF!</v>
      </c>
      <c r="W27" s="122" t="str">
        <f>(  ('Calc - SA'!$A$4*'Calc - SA'!W$14 - 'Calc - SA'!W$4*'Calc - SA'!$A$14)*( 'Calc - SA'!$A$4 - 'Calc - SA'!$A$14) - ('Calc - SA'!$A$4 - 'Calc - SA'!$A$14)*('Calc - SA'!$A$4*'Calc - SA'!$Z$14 - 'Calc - SA'!$Z$4*'Calc - SA'!$A$14)  )  /  ( ('Calc - SA'!$A$4 - 'Calc - SA'!$A$14)*('Calc - SA'!$Z$4 - 'Calc - SA'!$Z$14) - ('Calc - SA'!W$4 - 'Calc - SA'!W$14)*('Calc - SA'!$A$4 - 'Calc - SA'!$A$14) )</f>
        <v>#REF!</v>
      </c>
      <c r="X27" s="122" t="str">
        <f>(  ('Calc - SA'!$A$4*'Calc - SA'!X$14 - 'Calc - SA'!X$4*'Calc - SA'!$A$14)*( 'Calc - SA'!$A$4 - 'Calc - SA'!$A$14) - ('Calc - SA'!$A$4 - 'Calc - SA'!$A$14)*('Calc - SA'!$A$4*'Calc - SA'!$Z$14 - 'Calc - SA'!$Z$4*'Calc - SA'!$A$14)  )  /  ( ('Calc - SA'!$A$4 - 'Calc - SA'!$A$14)*('Calc - SA'!$Z$4 - 'Calc - SA'!$Z$14) - ('Calc - SA'!X$4 - 'Calc - SA'!X$14)*('Calc - SA'!$A$4 - 'Calc - SA'!$A$14) )</f>
        <v>#REF!</v>
      </c>
      <c r="Y27" s="122" t="str">
        <f>(  ('Calc - SA'!$A$4*'Calc - SA'!Y$14 - 'Calc - SA'!Y$4*'Calc - SA'!$A$14)*( 'Calc - SA'!$A$4 - 'Calc - SA'!$A$14) - ('Calc - SA'!$A$4 - 'Calc - SA'!$A$14)*('Calc - SA'!$A$4*'Calc - SA'!$Z$14 - 'Calc - SA'!$Z$4*'Calc - SA'!$A$14)  )  /  ( ('Calc - SA'!$A$4 - 'Calc - SA'!$A$14)*('Calc - SA'!$Z$4 - 'Calc - SA'!$Z$14) - ('Calc - SA'!Y$4 - 'Calc - SA'!Y$14)*('Calc - SA'!$A$4 - 'Calc - SA'!$A$14) )</f>
        <v>#REF!</v>
      </c>
      <c r="Z27" s="121"/>
    </row>
    <row r="28" ht="14.25" customHeight="1"/>
    <row r="29" ht="14.25" customHeight="1">
      <c r="A29" s="28" t="s">
        <v>92</v>
      </c>
      <c r="C29" s="123"/>
      <c r="D29" s="123"/>
      <c r="E29" s="123"/>
      <c r="F29" s="123"/>
      <c r="G29" s="123"/>
      <c r="H29" s="123"/>
      <c r="I29" s="123"/>
      <c r="J29" s="123"/>
      <c r="K29" s="123"/>
      <c r="L29" s="123"/>
      <c r="M29" s="123"/>
      <c r="N29" s="123"/>
      <c r="O29" s="123"/>
      <c r="P29" s="123"/>
      <c r="Q29" s="123"/>
      <c r="R29" s="123"/>
      <c r="S29" s="123"/>
      <c r="T29" s="123"/>
      <c r="U29" s="123"/>
      <c r="V29" s="123"/>
      <c r="W29" s="123"/>
      <c r="X29" s="123"/>
      <c r="Y29" s="123"/>
      <c r="Z29" s="123"/>
    </row>
    <row r="30" ht="14.25" customHeight="1">
      <c r="A30" s="123">
        <f>COUNTIF(B3:Z27, "&lt;="&amp;'Sensitivity Analysis'!$R$10) - COUNTIF(B3:Z27, "&lt;"&amp;'Sensitivity Analysis'!$R$7)</f>
        <v>0</v>
      </c>
    </row>
    <row r="31" ht="14.25" customHeight="1"/>
    <row r="32" ht="14.25" customHeight="1"/>
    <row r="33" ht="14.25" customHeight="1"/>
    <row r="34" ht="15.0" customHeight="1">
      <c r="D34" s="5" t="s">
        <v>93</v>
      </c>
      <c r="E34" s="6"/>
      <c r="F34" s="7"/>
    </row>
    <row r="35" ht="14.25" customHeight="1">
      <c r="D35" s="9"/>
      <c r="F35" s="10"/>
    </row>
    <row r="36" ht="14.25" customHeight="1">
      <c r="D36" s="9"/>
      <c r="F36" s="10"/>
    </row>
    <row r="37" ht="14.25" customHeight="1">
      <c r="D37" s="9"/>
      <c r="F37" s="10"/>
    </row>
    <row r="38" ht="14.25" customHeight="1">
      <c r="D38" s="9"/>
      <c r="F38" s="10"/>
    </row>
    <row r="39" ht="14.25" customHeight="1">
      <c r="D39" s="9"/>
      <c r="F39" s="10"/>
    </row>
    <row r="40" ht="14.25" customHeight="1">
      <c r="D40" s="9"/>
      <c r="F40" s="10"/>
    </row>
    <row r="41" ht="14.25" customHeight="1">
      <c r="D41" s="9"/>
      <c r="F41" s="10"/>
    </row>
    <row r="42" ht="14.25" customHeight="1">
      <c r="D42" s="9"/>
      <c r="F42" s="10"/>
    </row>
    <row r="43" ht="14.25" customHeight="1">
      <c r="D43" s="11"/>
      <c r="E43" s="12"/>
      <c r="F43" s="13"/>
    </row>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2">
    <mergeCell ref="B1:Z1"/>
    <mergeCell ref="D34:F43"/>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4.43" defaultRowHeight="15.0"/>
  <cols>
    <col customWidth="1" min="1" max="26" width="8.71"/>
  </cols>
  <sheetData>
    <row r="1" ht="14.25" customHeight="1"/>
    <row r="2" ht="14.25" customHeight="1">
      <c r="B2" s="1" t="s">
        <v>0</v>
      </c>
    </row>
    <row r="3" ht="14.25" customHeight="1">
      <c r="B3" s="2" t="s">
        <v>1</v>
      </c>
    </row>
    <row r="4" ht="14.25" customHeight="1">
      <c r="B4" s="3" t="s">
        <v>2</v>
      </c>
    </row>
    <row r="5" ht="14.25" customHeight="1">
      <c r="B5" s="4" t="s">
        <v>3</v>
      </c>
    </row>
    <row r="6" ht="14.25" customHeight="1"/>
    <row r="7" ht="14.25" customHeight="1">
      <c r="B7" s="2" t="s">
        <v>94</v>
      </c>
    </row>
    <row r="8" ht="14.25" customHeight="1">
      <c r="B8" s="3" t="s">
        <v>95</v>
      </c>
    </row>
    <row r="9" ht="14.25" customHeight="1">
      <c r="C9" s="2" t="s">
        <v>96</v>
      </c>
    </row>
    <row r="10" ht="14.25" customHeight="1">
      <c r="C10" s="3" t="s">
        <v>97</v>
      </c>
    </row>
    <row r="11" ht="14.25" customHeight="1">
      <c r="C11" s="3" t="s">
        <v>98</v>
      </c>
    </row>
    <row r="12" ht="14.25" customHeight="1">
      <c r="C12" s="3" t="s">
        <v>99</v>
      </c>
    </row>
    <row r="13" ht="14.25" customHeight="1">
      <c r="C13" s="3" t="s">
        <v>100</v>
      </c>
    </row>
    <row r="14" ht="14.25" customHeight="1">
      <c r="C14" s="3" t="s">
        <v>101</v>
      </c>
    </row>
    <row r="15" ht="14.25" customHeight="1">
      <c r="C15" s="3" t="s">
        <v>102</v>
      </c>
    </row>
    <row r="16" ht="14.25" customHeight="1">
      <c r="C16" s="3" t="s">
        <v>103</v>
      </c>
    </row>
    <row r="17" ht="14.25" customHeight="1">
      <c r="C17" s="3" t="s">
        <v>104</v>
      </c>
    </row>
    <row r="18" ht="14.25" customHeight="1">
      <c r="C18" s="2" t="s">
        <v>105</v>
      </c>
    </row>
    <row r="19" ht="14.25" customHeight="1">
      <c r="C19" s="3" t="s">
        <v>106</v>
      </c>
    </row>
    <row r="20" ht="14.25" customHeight="1">
      <c r="C20" s="3" t="s">
        <v>107</v>
      </c>
    </row>
    <row r="21" ht="14.25" customHeight="1">
      <c r="C21" s="3" t="s">
        <v>108</v>
      </c>
    </row>
    <row r="22" ht="14.25" customHeight="1">
      <c r="C22" s="3" t="s">
        <v>109</v>
      </c>
    </row>
    <row r="23" ht="14.25" customHeight="1">
      <c r="C23" s="2" t="s">
        <v>110</v>
      </c>
    </row>
    <row r="24" ht="14.25" customHeight="1">
      <c r="C24" s="3" t="s">
        <v>111</v>
      </c>
    </row>
    <row r="25" ht="14.25" customHeight="1">
      <c r="C25" s="3" t="s">
        <v>112</v>
      </c>
    </row>
    <row r="26" ht="14.25" customHeight="1">
      <c r="C26" s="3" t="s">
        <v>113</v>
      </c>
    </row>
    <row r="27" ht="14.25" customHeight="1">
      <c r="C27" s="3" t="s">
        <v>114</v>
      </c>
    </row>
    <row r="28" ht="14.25" customHeight="1">
      <c r="C28" s="3" t="s">
        <v>115</v>
      </c>
    </row>
    <row r="29" ht="14.25" customHeight="1">
      <c r="C29" s="2" t="s">
        <v>116</v>
      </c>
    </row>
    <row r="30" ht="14.25" customHeight="1">
      <c r="C30" s="3" t="s">
        <v>117</v>
      </c>
    </row>
    <row r="31" ht="14.25" customHeight="1">
      <c r="C31" s="3" t="s">
        <v>118</v>
      </c>
    </row>
    <row r="32" ht="14.25" customHeight="1">
      <c r="C32" s="3" t="s">
        <v>119</v>
      </c>
    </row>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hyperlinks>
    <hyperlink r:id="rId1" ref="B5"/>
  </hyperlinks>
  <printOptions/>
  <pageMargins bottom="0.75" footer="0.0" header="0.0" left="0.7" right="0.7" top="0.75"/>
  <pageSetup orientation="landscape"/>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2014-04-22T15:35:14Z</dcterms:created>
  <dc:creator>Jeff Ellis</dc:creator>
</cp:coreProperties>
</file>